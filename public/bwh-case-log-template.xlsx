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\\Cifs2\nsacgme$\OR logs\BWH\"/>
    </mc:Choice>
  </mc:AlternateContent>
  <xr:revisionPtr revIDLastSave="0" documentId="8_{1409CFE7-FA42-43E0-B9DE-33AFF16BD825}" xr6:coauthVersionLast="47" xr6:coauthVersionMax="47" xr10:uidLastSave="{00000000-0000-0000-0000-000000000000}"/>
  <bookViews>
    <workbookView xWindow="-108" yWindow="-108" windowWidth="23256" windowHeight="12456" tabRatio="853" xr2:uid="{00000000-000D-0000-FFFF-FFFF00000000}"/>
  </bookViews>
  <sheets>
    <sheet name="December 10, 2025" sheetId="139" r:id="rId1"/>
    <sheet name="November 11, 2025" sheetId="138" state="hidden" r:id="rId2"/>
    <sheet name="October 3, 2025" sheetId="137" state="hidden" r:id="rId3"/>
    <sheet name="August 4, 2025" sheetId="136" state="hidden" r:id="rId4"/>
    <sheet name="July 1, 2025" sheetId="132" state="hidden" r:id="rId5"/>
    <sheet name="Hsueh" sheetId="45" state="hidden" r:id="rId6"/>
    <sheet name="Parker" sheetId="46" state="hidden" r:id="rId7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45" i="139" l="1"/>
  <c r="AB39" i="139"/>
  <c r="AB27" i="139"/>
  <c r="AB20" i="139"/>
  <c r="AB15" i="139"/>
  <c r="AC45" i="139"/>
  <c r="Z45" i="139"/>
  <c r="Y45" i="139"/>
  <c r="X45" i="139"/>
  <c r="V45" i="139"/>
  <c r="U45" i="139"/>
  <c r="T45" i="139"/>
  <c r="R45" i="139"/>
  <c r="Q45" i="139"/>
  <c r="P45" i="139"/>
  <c r="N45" i="139"/>
  <c r="M45" i="139"/>
  <c r="K45" i="139"/>
  <c r="J45" i="139"/>
  <c r="I45" i="139"/>
  <c r="G45" i="139"/>
  <c r="F45" i="139"/>
  <c r="E45" i="139"/>
  <c r="B45" i="139"/>
  <c r="AD39" i="139"/>
  <c r="AC39" i="139"/>
  <c r="Z39" i="139"/>
  <c r="Y39" i="139"/>
  <c r="X39" i="139"/>
  <c r="V39" i="139"/>
  <c r="U39" i="139"/>
  <c r="T39" i="139"/>
  <c r="R39" i="139"/>
  <c r="Q39" i="139"/>
  <c r="P39" i="139"/>
  <c r="N39" i="139"/>
  <c r="M39" i="139"/>
  <c r="K39" i="139"/>
  <c r="J39" i="139"/>
  <c r="I39" i="139"/>
  <c r="G39" i="139"/>
  <c r="F39" i="139"/>
  <c r="E39" i="139"/>
  <c r="B39" i="139"/>
  <c r="AD27" i="139"/>
  <c r="AC27" i="139"/>
  <c r="Z27" i="139"/>
  <c r="Y27" i="139"/>
  <c r="X27" i="139"/>
  <c r="V27" i="139"/>
  <c r="U27" i="139"/>
  <c r="T27" i="139"/>
  <c r="R27" i="139"/>
  <c r="Q27" i="139"/>
  <c r="P27" i="139"/>
  <c r="N27" i="139"/>
  <c r="M27" i="139"/>
  <c r="K27" i="139"/>
  <c r="J27" i="139"/>
  <c r="I27" i="139"/>
  <c r="G27" i="139"/>
  <c r="F27" i="139"/>
  <c r="E27" i="139"/>
  <c r="B27" i="139"/>
  <c r="AD20" i="139"/>
  <c r="AD46" i="139" s="1"/>
  <c r="AC20" i="139"/>
  <c r="Z20" i="139"/>
  <c r="Y20" i="139"/>
  <c r="X20" i="139"/>
  <c r="V20" i="139"/>
  <c r="U20" i="139"/>
  <c r="T20" i="139"/>
  <c r="R20" i="139"/>
  <c r="Q20" i="139"/>
  <c r="P20" i="139"/>
  <c r="N20" i="139"/>
  <c r="M20" i="139"/>
  <c r="K20" i="139"/>
  <c r="J20" i="139"/>
  <c r="I20" i="139"/>
  <c r="G20" i="139"/>
  <c r="F20" i="139"/>
  <c r="E20" i="139"/>
  <c r="B20" i="139"/>
  <c r="AD15" i="139"/>
  <c r="AC15" i="139"/>
  <c r="Z15" i="139"/>
  <c r="X15" i="139"/>
  <c r="V15" i="139"/>
  <c r="U15" i="139"/>
  <c r="T15" i="139"/>
  <c r="R15" i="139"/>
  <c r="Q15" i="139"/>
  <c r="P15" i="139"/>
  <c r="N15" i="139"/>
  <c r="M15" i="139"/>
  <c r="K15" i="139"/>
  <c r="J15" i="139"/>
  <c r="I15" i="139"/>
  <c r="G15" i="139"/>
  <c r="F15" i="139"/>
  <c r="E15" i="139"/>
  <c r="AD44" i="138"/>
  <c r="AC44" i="138"/>
  <c r="AA44" i="138"/>
  <c r="Z44" i="138"/>
  <c r="Y44" i="138"/>
  <c r="X44" i="138"/>
  <c r="V44" i="138"/>
  <c r="U44" i="138"/>
  <c r="T44" i="138"/>
  <c r="R44" i="138"/>
  <c r="Q44" i="138"/>
  <c r="P44" i="138"/>
  <c r="N44" i="138"/>
  <c r="M44" i="138"/>
  <c r="K44" i="138"/>
  <c r="J44" i="138"/>
  <c r="I44" i="138"/>
  <c r="G44" i="138"/>
  <c r="F44" i="138"/>
  <c r="E44" i="138"/>
  <c r="B44" i="138"/>
  <c r="AE38" i="138"/>
  <c r="AD38" i="138"/>
  <c r="AC38" i="138"/>
  <c r="AA38" i="138"/>
  <c r="Z38" i="138"/>
  <c r="Y38" i="138"/>
  <c r="X38" i="138"/>
  <c r="V38" i="138"/>
  <c r="U38" i="138"/>
  <c r="T38" i="138"/>
  <c r="R38" i="138"/>
  <c r="Q38" i="138"/>
  <c r="P38" i="138"/>
  <c r="N38" i="138"/>
  <c r="M38" i="138"/>
  <c r="K38" i="138"/>
  <c r="J38" i="138"/>
  <c r="I38" i="138"/>
  <c r="G38" i="138"/>
  <c r="F38" i="138"/>
  <c r="E38" i="138"/>
  <c r="B38" i="138"/>
  <c r="AE26" i="138"/>
  <c r="AD26" i="138"/>
  <c r="AC26" i="138"/>
  <c r="AA26" i="138"/>
  <c r="Z26" i="138"/>
  <c r="Y26" i="138"/>
  <c r="X26" i="138"/>
  <c r="V26" i="138"/>
  <c r="U26" i="138"/>
  <c r="T26" i="138"/>
  <c r="R26" i="138"/>
  <c r="Q26" i="138"/>
  <c r="P26" i="138"/>
  <c r="N26" i="138"/>
  <c r="N45" i="138" s="1"/>
  <c r="M26" i="138"/>
  <c r="M45" i="138" s="1"/>
  <c r="K26" i="138"/>
  <c r="K45" i="138" s="1"/>
  <c r="J26" i="138"/>
  <c r="I26" i="138"/>
  <c r="G26" i="138"/>
  <c r="F26" i="138"/>
  <c r="E26" i="138"/>
  <c r="B26" i="138"/>
  <c r="AE19" i="138"/>
  <c r="AE45" i="138" s="1"/>
  <c r="AD19" i="138"/>
  <c r="AC19" i="138"/>
  <c r="AA19" i="138"/>
  <c r="Z19" i="138"/>
  <c r="Y19" i="138"/>
  <c r="X19" i="138"/>
  <c r="V19" i="138"/>
  <c r="U19" i="138"/>
  <c r="U45" i="138" s="1"/>
  <c r="T19" i="138"/>
  <c r="T45" i="138" s="1"/>
  <c r="R19" i="138"/>
  <c r="Q19" i="138"/>
  <c r="P19" i="138"/>
  <c r="P45" i="138" s="1"/>
  <c r="N19" i="138"/>
  <c r="M19" i="138"/>
  <c r="K19" i="138"/>
  <c r="J19" i="138"/>
  <c r="I19" i="138"/>
  <c r="G19" i="138"/>
  <c r="F19" i="138"/>
  <c r="E19" i="138"/>
  <c r="E45" i="138" s="1"/>
  <c r="B19" i="138"/>
  <c r="B45" i="138" s="1"/>
  <c r="AE14" i="138"/>
  <c r="AD14" i="138"/>
  <c r="AC14" i="138"/>
  <c r="AA14" i="138"/>
  <c r="Z14" i="138"/>
  <c r="Y14" i="138"/>
  <c r="X14" i="138"/>
  <c r="V14" i="138"/>
  <c r="U14" i="138"/>
  <c r="T14" i="138"/>
  <c r="R14" i="138"/>
  <c r="Q14" i="138"/>
  <c r="P14" i="138"/>
  <c r="N14" i="138"/>
  <c r="M14" i="138"/>
  <c r="K14" i="138"/>
  <c r="J14" i="138"/>
  <c r="I14" i="138"/>
  <c r="G14" i="138"/>
  <c r="F14" i="138"/>
  <c r="E14" i="138"/>
  <c r="AD44" i="137"/>
  <c r="AC44" i="137"/>
  <c r="AA44" i="137"/>
  <c r="Z44" i="137"/>
  <c r="Y44" i="137"/>
  <c r="X44" i="137"/>
  <c r="V44" i="137"/>
  <c r="U44" i="137"/>
  <c r="T44" i="137"/>
  <c r="R44" i="137"/>
  <c r="Q44" i="137"/>
  <c r="P44" i="137"/>
  <c r="N44" i="137"/>
  <c r="M44" i="137"/>
  <c r="K44" i="137"/>
  <c r="J44" i="137"/>
  <c r="I44" i="137"/>
  <c r="G44" i="137"/>
  <c r="F44" i="137"/>
  <c r="E44" i="137"/>
  <c r="B44" i="137"/>
  <c r="AE38" i="137"/>
  <c r="AD38" i="137"/>
  <c r="AC38" i="137"/>
  <c r="AA38" i="137"/>
  <c r="Z38" i="137"/>
  <c r="Y38" i="137"/>
  <c r="X38" i="137"/>
  <c r="V38" i="137"/>
  <c r="U38" i="137"/>
  <c r="T38" i="137"/>
  <c r="R38" i="137"/>
  <c r="Q38" i="137"/>
  <c r="P38" i="137"/>
  <c r="N38" i="137"/>
  <c r="M38" i="137"/>
  <c r="K38" i="137"/>
  <c r="J38" i="137"/>
  <c r="I38" i="137"/>
  <c r="G38" i="137"/>
  <c r="F38" i="137"/>
  <c r="E38" i="137"/>
  <c r="B38" i="137"/>
  <c r="AE26" i="137"/>
  <c r="AD26" i="137"/>
  <c r="AC26" i="137"/>
  <c r="AA26" i="137"/>
  <c r="Z26" i="137"/>
  <c r="Y26" i="137"/>
  <c r="X26" i="137"/>
  <c r="V26" i="137"/>
  <c r="U26" i="137"/>
  <c r="T26" i="137"/>
  <c r="R26" i="137"/>
  <c r="Q26" i="137"/>
  <c r="P26" i="137"/>
  <c r="N26" i="137"/>
  <c r="N45" i="137" s="1"/>
  <c r="M26" i="137"/>
  <c r="M45" i="137" s="1"/>
  <c r="K26" i="137"/>
  <c r="J26" i="137"/>
  <c r="I26" i="137"/>
  <c r="G26" i="137"/>
  <c r="F26" i="137"/>
  <c r="E26" i="137"/>
  <c r="B26" i="137"/>
  <c r="AE19" i="137"/>
  <c r="AE45" i="137" s="1"/>
  <c r="AD19" i="137"/>
  <c r="AC19" i="137"/>
  <c r="AA19" i="137"/>
  <c r="Z19" i="137"/>
  <c r="Y19" i="137"/>
  <c r="X19" i="137"/>
  <c r="V19" i="137"/>
  <c r="U19" i="137"/>
  <c r="T19" i="137"/>
  <c r="T45" i="137" s="1"/>
  <c r="R19" i="137"/>
  <c r="Q19" i="137"/>
  <c r="P19" i="137"/>
  <c r="N19" i="137"/>
  <c r="M19" i="137"/>
  <c r="K19" i="137"/>
  <c r="J19" i="137"/>
  <c r="I19" i="137"/>
  <c r="G19" i="137"/>
  <c r="F19" i="137"/>
  <c r="E19" i="137"/>
  <c r="B19" i="137"/>
  <c r="B45" i="137" s="1"/>
  <c r="AE14" i="137"/>
  <c r="AD14" i="137"/>
  <c r="AC14" i="137"/>
  <c r="AA14" i="137"/>
  <c r="Z14" i="137"/>
  <c r="Y14" i="137"/>
  <c r="X14" i="137"/>
  <c r="V14" i="137"/>
  <c r="U14" i="137"/>
  <c r="T14" i="137"/>
  <c r="R14" i="137"/>
  <c r="Q14" i="137"/>
  <c r="P14" i="137"/>
  <c r="N14" i="137"/>
  <c r="M14" i="137"/>
  <c r="K14" i="137"/>
  <c r="J14" i="137"/>
  <c r="I14" i="137"/>
  <c r="G14" i="137"/>
  <c r="F14" i="137"/>
  <c r="E14" i="137"/>
  <c r="AE38" i="136"/>
  <c r="AE26" i="136"/>
  <c r="AE19" i="136"/>
  <c r="AE45" i="136" s="1"/>
  <c r="AE14" i="136"/>
  <c r="AD44" i="136"/>
  <c r="AC44" i="136"/>
  <c r="AA44" i="136"/>
  <c r="Z44" i="136"/>
  <c r="Y44" i="136"/>
  <c r="X44" i="136"/>
  <c r="V44" i="136"/>
  <c r="U44" i="136"/>
  <c r="T44" i="136"/>
  <c r="R44" i="136"/>
  <c r="Q44" i="136"/>
  <c r="P44" i="136"/>
  <c r="N44" i="136"/>
  <c r="M44" i="136"/>
  <c r="K44" i="136"/>
  <c r="J44" i="136"/>
  <c r="I44" i="136"/>
  <c r="G44" i="136"/>
  <c r="F44" i="136"/>
  <c r="E44" i="136"/>
  <c r="B44" i="136"/>
  <c r="AD38" i="136"/>
  <c r="AC38" i="136"/>
  <c r="AA38" i="136"/>
  <c r="Z38" i="136"/>
  <c r="Y38" i="136"/>
  <c r="X38" i="136"/>
  <c r="V38" i="136"/>
  <c r="U38" i="136"/>
  <c r="T38" i="136"/>
  <c r="R38" i="136"/>
  <c r="Q38" i="136"/>
  <c r="P38" i="136"/>
  <c r="N38" i="136"/>
  <c r="M38" i="136"/>
  <c r="K38" i="136"/>
  <c r="J38" i="136"/>
  <c r="I38" i="136"/>
  <c r="G38" i="136"/>
  <c r="F38" i="136"/>
  <c r="E38" i="136"/>
  <c r="B38" i="136"/>
  <c r="AD26" i="136"/>
  <c r="AC26" i="136"/>
  <c r="AA26" i="136"/>
  <c r="Z26" i="136"/>
  <c r="Y26" i="136"/>
  <c r="X26" i="136"/>
  <c r="V26" i="136"/>
  <c r="U26" i="136"/>
  <c r="T26" i="136"/>
  <c r="R26" i="136"/>
  <c r="Q26" i="136"/>
  <c r="P26" i="136"/>
  <c r="N26" i="136"/>
  <c r="M26" i="136"/>
  <c r="K26" i="136"/>
  <c r="J26" i="136"/>
  <c r="I26" i="136"/>
  <c r="G26" i="136"/>
  <c r="F26" i="136"/>
  <c r="E26" i="136"/>
  <c r="B26" i="136"/>
  <c r="AD19" i="136"/>
  <c r="AC19" i="136"/>
  <c r="AA19" i="136"/>
  <c r="Z19" i="136"/>
  <c r="Y19" i="136"/>
  <c r="X19" i="136"/>
  <c r="V19" i="136"/>
  <c r="U19" i="136"/>
  <c r="T19" i="136"/>
  <c r="R19" i="136"/>
  <c r="Q19" i="136"/>
  <c r="P19" i="136"/>
  <c r="P45" i="136" s="1"/>
  <c r="N19" i="136"/>
  <c r="N45" i="136" s="1"/>
  <c r="M19" i="136"/>
  <c r="M45" i="136" s="1"/>
  <c r="K19" i="136"/>
  <c r="J19" i="136"/>
  <c r="I19" i="136"/>
  <c r="G19" i="136"/>
  <c r="F19" i="136"/>
  <c r="E19" i="136"/>
  <c r="B19" i="136"/>
  <c r="B45" i="136" s="1"/>
  <c r="AD14" i="136"/>
  <c r="AC14" i="136"/>
  <c r="AA14" i="136"/>
  <c r="Z14" i="136"/>
  <c r="Y14" i="136"/>
  <c r="X14" i="136"/>
  <c r="V14" i="136"/>
  <c r="U14" i="136"/>
  <c r="T14" i="136"/>
  <c r="R14" i="136"/>
  <c r="Q14" i="136"/>
  <c r="P14" i="136"/>
  <c r="N14" i="136"/>
  <c r="M14" i="136"/>
  <c r="K14" i="136"/>
  <c r="J14" i="136"/>
  <c r="I14" i="136"/>
  <c r="G14" i="136"/>
  <c r="F14" i="136"/>
  <c r="E14" i="136"/>
  <c r="AC46" i="139" l="1"/>
  <c r="AB46" i="139"/>
  <c r="B46" i="139"/>
  <c r="M46" i="139"/>
  <c r="N46" i="139"/>
  <c r="T46" i="139"/>
  <c r="K46" i="139"/>
  <c r="I46" i="139"/>
  <c r="P46" i="139"/>
  <c r="Y46" i="139"/>
  <c r="F46" i="139"/>
  <c r="Z46" i="139"/>
  <c r="X46" i="139"/>
  <c r="V46" i="139"/>
  <c r="U46" i="139"/>
  <c r="R46" i="139"/>
  <c r="Q46" i="139"/>
  <c r="J46" i="139"/>
  <c r="G46" i="139"/>
  <c r="E46" i="139"/>
  <c r="AD45" i="138"/>
  <c r="AC45" i="138"/>
  <c r="AA45" i="138"/>
  <c r="Z45" i="138"/>
  <c r="Y45" i="138"/>
  <c r="X45" i="138"/>
  <c r="V45" i="138"/>
  <c r="R45" i="138"/>
  <c r="Q45" i="138"/>
  <c r="J45" i="138"/>
  <c r="I45" i="138"/>
  <c r="G45" i="138"/>
  <c r="F45" i="138"/>
  <c r="AD45" i="137"/>
  <c r="AC45" i="137"/>
  <c r="AA45" i="137"/>
  <c r="Z45" i="137"/>
  <c r="Y45" i="137"/>
  <c r="X45" i="137"/>
  <c r="V45" i="137"/>
  <c r="U45" i="137"/>
  <c r="R45" i="137"/>
  <c r="Q45" i="137"/>
  <c r="P45" i="137"/>
  <c r="K45" i="137"/>
  <c r="J45" i="137"/>
  <c r="I45" i="137"/>
  <c r="G45" i="137"/>
  <c r="F45" i="137"/>
  <c r="E45" i="137"/>
  <c r="AD45" i="136"/>
  <c r="AC45" i="136"/>
  <c r="AA45" i="136"/>
  <c r="Z45" i="136"/>
  <c r="Y45" i="136"/>
  <c r="X45" i="136"/>
  <c r="V45" i="136"/>
  <c r="U45" i="136"/>
  <c r="T45" i="136"/>
  <c r="R45" i="136"/>
  <c r="Q45" i="136"/>
  <c r="K45" i="136"/>
  <c r="J45" i="136"/>
  <c r="I45" i="136"/>
  <c r="G45" i="136"/>
  <c r="F45" i="136"/>
  <c r="E45" i="136"/>
  <c r="I39" i="46"/>
  <c r="I33" i="46"/>
  <c r="I21" i="46"/>
  <c r="I14" i="46"/>
  <c r="I40" i="46" s="1"/>
  <c r="I9" i="46"/>
  <c r="E39" i="46"/>
  <c r="E33" i="46"/>
  <c r="E21" i="46"/>
  <c r="E14" i="46"/>
  <c r="E40" i="46" s="1"/>
  <c r="E9" i="46"/>
  <c r="I39" i="45"/>
  <c r="I33" i="45"/>
  <c r="I21" i="45"/>
  <c r="I14" i="45"/>
  <c r="I40" i="45" s="1"/>
  <c r="I9" i="45"/>
  <c r="E39" i="45"/>
  <c r="E33" i="45"/>
  <c r="E21" i="45"/>
  <c r="E14" i="45"/>
  <c r="E40" i="45" s="1"/>
  <c r="E9" i="45"/>
  <c r="Z44" i="132"/>
  <c r="X44" i="132"/>
  <c r="AA44" i="132"/>
  <c r="Y44" i="132"/>
  <c r="V44" i="132"/>
  <c r="U44" i="132"/>
  <c r="T44" i="132"/>
  <c r="R44" i="132"/>
  <c r="Q44" i="132"/>
  <c r="P44" i="132"/>
  <c r="N44" i="132"/>
  <c r="M44" i="132"/>
  <c r="K44" i="132"/>
  <c r="J44" i="132"/>
  <c r="I44" i="132"/>
  <c r="G44" i="132"/>
  <c r="F44" i="132"/>
  <c r="E44" i="132"/>
  <c r="B44" i="132"/>
  <c r="AA38" i="132"/>
  <c r="Z38" i="132"/>
  <c r="Y38" i="132"/>
  <c r="X38" i="132"/>
  <c r="V38" i="132"/>
  <c r="U38" i="132"/>
  <c r="T38" i="132"/>
  <c r="R38" i="132"/>
  <c r="Q38" i="132"/>
  <c r="P38" i="132"/>
  <c r="N38" i="132"/>
  <c r="M38" i="132"/>
  <c r="K38" i="132"/>
  <c r="J38" i="132"/>
  <c r="I38" i="132"/>
  <c r="G38" i="132"/>
  <c r="F38" i="132"/>
  <c r="E38" i="132"/>
  <c r="AE38" i="132"/>
  <c r="AD38" i="132"/>
  <c r="AC38" i="132"/>
  <c r="B38" i="132"/>
  <c r="AA26" i="132"/>
  <c r="Z26" i="132"/>
  <c r="Y26" i="132"/>
  <c r="X26" i="132"/>
  <c r="V26" i="132"/>
  <c r="U26" i="132"/>
  <c r="T26" i="132"/>
  <c r="R26" i="132"/>
  <c r="Q26" i="132"/>
  <c r="P26" i="132"/>
  <c r="N26" i="132"/>
  <c r="M26" i="132"/>
  <c r="K26" i="132"/>
  <c r="J26" i="132"/>
  <c r="I26" i="132"/>
  <c r="G26" i="132"/>
  <c r="F26" i="132"/>
  <c r="E26" i="132"/>
  <c r="AE26" i="132"/>
  <c r="AD26" i="132"/>
  <c r="AC26" i="132"/>
  <c r="B26" i="132"/>
  <c r="AA19" i="132"/>
  <c r="Z19" i="132"/>
  <c r="Y19" i="132"/>
  <c r="X19" i="132"/>
  <c r="V19" i="132"/>
  <c r="U19" i="132"/>
  <c r="T19" i="132"/>
  <c r="R19" i="132"/>
  <c r="Q19" i="132"/>
  <c r="P19" i="132"/>
  <c r="N19" i="132"/>
  <c r="M19" i="132"/>
  <c r="K19" i="132"/>
  <c r="J19" i="132"/>
  <c r="I19" i="132"/>
  <c r="G19" i="132"/>
  <c r="F19" i="132"/>
  <c r="E19" i="132"/>
  <c r="AE19" i="132"/>
  <c r="AD19" i="132"/>
  <c r="AC19" i="132"/>
  <c r="B19" i="132"/>
  <c r="AA14" i="132"/>
  <c r="Z14" i="132"/>
  <c r="Y14" i="132"/>
  <c r="X14" i="132"/>
  <c r="V14" i="132"/>
  <c r="U14" i="132"/>
  <c r="T14" i="132"/>
  <c r="R14" i="132"/>
  <c r="Q14" i="132"/>
  <c r="P14" i="132"/>
  <c r="N14" i="132"/>
  <c r="M14" i="132"/>
  <c r="K14" i="132"/>
  <c r="J14" i="132"/>
  <c r="I14" i="132"/>
  <c r="G14" i="132"/>
  <c r="F14" i="132"/>
  <c r="E14" i="132"/>
  <c r="AE14" i="132"/>
  <c r="AD14" i="132"/>
  <c r="AC14" i="132"/>
  <c r="F39" i="46"/>
  <c r="F33" i="46"/>
  <c r="F21" i="46"/>
  <c r="F14" i="46"/>
  <c r="F40" i="46" s="1"/>
  <c r="F9" i="46"/>
  <c r="F39" i="45"/>
  <c r="F33" i="45"/>
  <c r="F21" i="45"/>
  <c r="F14" i="45"/>
  <c r="F40" i="45" s="1"/>
  <c r="F9" i="45"/>
  <c r="I45" i="132" l="1"/>
  <c r="J45" i="132"/>
  <c r="B45" i="132"/>
  <c r="AA45" i="132"/>
  <c r="U45" i="132"/>
  <c r="N45" i="132"/>
  <c r="Z45" i="132"/>
  <c r="Y45" i="132"/>
  <c r="X45" i="132"/>
  <c r="V45" i="132"/>
  <c r="T45" i="132"/>
  <c r="R45" i="132"/>
  <c r="Q45" i="132"/>
  <c r="P45" i="132"/>
  <c r="M45" i="132"/>
  <c r="K45" i="132"/>
  <c r="G45" i="132"/>
  <c r="F45" i="132"/>
  <c r="E45" i="132"/>
  <c r="AE45" i="132"/>
  <c r="AC45" i="132"/>
  <c r="AD45" i="132"/>
  <c r="B39" i="46" l="1"/>
  <c r="B33" i="46"/>
  <c r="B21" i="46"/>
  <c r="B14" i="46"/>
  <c r="B40" i="46" s="1"/>
  <c r="B39" i="45"/>
  <c r="B33" i="45"/>
  <c r="B21" i="45"/>
  <c r="B14" i="45"/>
  <c r="B40" i="45" s="1"/>
  <c r="J40" i="46"/>
  <c r="J39" i="46"/>
  <c r="J33" i="46"/>
  <c r="J21" i="46"/>
  <c r="J14" i="46"/>
  <c r="J9" i="46"/>
  <c r="J39" i="45"/>
  <c r="J33" i="45"/>
  <c r="J21" i="45"/>
  <c r="J14" i="45"/>
  <c r="J40" i="45" s="1"/>
  <c r="J9" i="45"/>
  <c r="K14" i="46" l="1"/>
  <c r="K41" i="46"/>
  <c r="K38" i="46"/>
  <c r="K37" i="46"/>
  <c r="K36" i="46"/>
  <c r="K35" i="46"/>
  <c r="K34" i="46"/>
  <c r="K32" i="46"/>
  <c r="K31" i="46"/>
  <c r="K30" i="46"/>
  <c r="K29" i="46"/>
  <c r="K28" i="46"/>
  <c r="K27" i="46"/>
  <c r="K26" i="46"/>
  <c r="K25" i="46"/>
  <c r="K24" i="46"/>
  <c r="K23" i="46"/>
  <c r="K22" i="46"/>
  <c r="K20" i="46"/>
  <c r="K19" i="46"/>
  <c r="K18" i="46"/>
  <c r="K17" i="46"/>
  <c r="K16" i="46"/>
  <c r="K15" i="46"/>
  <c r="K13" i="46"/>
  <c r="K12" i="46"/>
  <c r="K11" i="46"/>
  <c r="K10" i="46"/>
  <c r="K8" i="46"/>
  <c r="K7" i="46"/>
  <c r="K6" i="46"/>
  <c r="K5" i="46"/>
  <c r="K4" i="46"/>
  <c r="K41" i="45"/>
  <c r="K39" i="45"/>
  <c r="K38" i="45"/>
  <c r="K37" i="45"/>
  <c r="K36" i="45"/>
  <c r="K35" i="45"/>
  <c r="K34" i="45"/>
  <c r="K32" i="45"/>
  <c r="K31" i="45"/>
  <c r="K30" i="45"/>
  <c r="K29" i="45"/>
  <c r="K28" i="45"/>
  <c r="K27" i="45"/>
  <c r="K26" i="45"/>
  <c r="K25" i="45"/>
  <c r="K24" i="45"/>
  <c r="K23" i="45"/>
  <c r="K22" i="45"/>
  <c r="K20" i="45"/>
  <c r="K19" i="45"/>
  <c r="K18" i="45"/>
  <c r="K17" i="45"/>
  <c r="K16" i="45"/>
  <c r="K15" i="45"/>
  <c r="K13" i="45"/>
  <c r="K12" i="45"/>
  <c r="K11" i="45"/>
  <c r="K10" i="45"/>
  <c r="K9" i="45"/>
  <c r="K8" i="45"/>
  <c r="K7" i="45"/>
  <c r="K6" i="45"/>
  <c r="K5" i="45"/>
  <c r="K4" i="45"/>
  <c r="K39" i="46" l="1"/>
  <c r="K21" i="46"/>
  <c r="K40" i="46"/>
  <c r="K33" i="46"/>
  <c r="K9" i="46"/>
  <c r="K21" i="45"/>
  <c r="K33" i="45"/>
  <c r="K14" i="45"/>
  <c r="K40" i="45" l="1"/>
  <c r="G41" i="46" l="1"/>
  <c r="G39" i="46"/>
  <c r="G38" i="46"/>
  <c r="G37" i="46"/>
  <c r="G36" i="46"/>
  <c r="G35" i="46"/>
  <c r="G34" i="46"/>
  <c r="G33" i="46"/>
  <c r="G32" i="46"/>
  <c r="G31" i="46"/>
  <c r="G30" i="46"/>
  <c r="G29" i="46"/>
  <c r="G28" i="46"/>
  <c r="G27" i="46"/>
  <c r="G26" i="46"/>
  <c r="G25" i="46"/>
  <c r="G24" i="46"/>
  <c r="G23" i="46"/>
  <c r="G22" i="46"/>
  <c r="G21" i="46"/>
  <c r="G20" i="46"/>
  <c r="G19" i="46"/>
  <c r="G18" i="46"/>
  <c r="G17" i="46"/>
  <c r="G16" i="46"/>
  <c r="G15" i="46"/>
  <c r="G13" i="46"/>
  <c r="G12" i="46"/>
  <c r="G11" i="46"/>
  <c r="G10" i="46"/>
  <c r="G9" i="46"/>
  <c r="G8" i="46"/>
  <c r="G7" i="46"/>
  <c r="G6" i="46"/>
  <c r="G5" i="46"/>
  <c r="G4" i="46"/>
  <c r="G41" i="45"/>
  <c r="G39" i="45"/>
  <c r="G38" i="45"/>
  <c r="G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0" i="45"/>
  <c r="G19" i="45"/>
  <c r="G18" i="45"/>
  <c r="G17" i="45"/>
  <c r="G16" i="45"/>
  <c r="G15" i="45"/>
  <c r="G13" i="45"/>
  <c r="G12" i="45"/>
  <c r="G11" i="45"/>
  <c r="G10" i="45"/>
  <c r="G9" i="45"/>
  <c r="G8" i="45"/>
  <c r="G7" i="45"/>
  <c r="G6" i="45"/>
  <c r="G5" i="45"/>
  <c r="G4" i="45"/>
  <c r="G40" i="45" l="1"/>
  <c r="G21" i="45"/>
  <c r="G40" i="46"/>
  <c r="G14" i="46"/>
  <c r="G14" i="45"/>
</calcChain>
</file>

<file path=xl/sharedStrings.xml><?xml version="1.0" encoding="utf-8"?>
<sst xmlns="http://schemas.openxmlformats.org/spreadsheetml/2006/main" count="551" uniqueCount="99">
  <si>
    <t>Neurological Surgery Minimum Report</t>
  </si>
  <si>
    <t>Program ID: 1602421036  Program Name: Brigham and Women's Hospital/Children's Hospital Program</t>
  </si>
  <si>
    <t>Primary Procedures</t>
  </si>
  <si>
    <t>R7</t>
  </si>
  <si>
    <t>R6</t>
  </si>
  <si>
    <t>R5</t>
  </si>
  <si>
    <t>R4</t>
  </si>
  <si>
    <t>R3</t>
  </si>
  <si>
    <t>R2</t>
  </si>
  <si>
    <t>R1</t>
  </si>
  <si>
    <t>CASE NUMBERS</t>
  </si>
  <si>
    <t xml:space="preserve">Program </t>
  </si>
  <si>
    <t>JB</t>
  </si>
  <si>
    <t>MC</t>
  </si>
  <si>
    <t>SG</t>
  </si>
  <si>
    <t>MA</t>
  </si>
  <si>
    <t>JC</t>
  </si>
  <si>
    <t>J. Chen</t>
  </si>
  <si>
    <t>BH</t>
  </si>
  <si>
    <t>TP</t>
  </si>
  <si>
    <t>AG</t>
  </si>
  <si>
    <t>DL</t>
  </si>
  <si>
    <t>GL</t>
  </si>
  <si>
    <t>EC</t>
  </si>
  <si>
    <t>RG</t>
  </si>
  <si>
    <t>CN</t>
  </si>
  <si>
    <t>EM</t>
  </si>
  <si>
    <t>AY</t>
  </si>
  <si>
    <t>SB</t>
  </si>
  <si>
    <t>RP</t>
  </si>
  <si>
    <t>SS</t>
  </si>
  <si>
    <t>ML</t>
  </si>
  <si>
    <t>Categories</t>
  </si>
  <si>
    <t>Mean</t>
  </si>
  <si>
    <t>Minimum</t>
  </si>
  <si>
    <t>Minimums</t>
  </si>
  <si>
    <t>Cranial</t>
  </si>
  <si>
    <t>Cranial: Tumor General (Old DC1)</t>
  </si>
  <si>
    <t>Cranial: Tumor Sellar/Parasellar (Old DC5)</t>
  </si>
  <si>
    <t>Cranial: Trauma/Other (Old DC2)</t>
  </si>
  <si>
    <t>Cranial: Vascular Open</t>
  </si>
  <si>
    <t>Cranial: Vascular Endovascular</t>
  </si>
  <si>
    <t xml:space="preserve">Total Cranial: Vascular (Old DC3+DC6) Total : </t>
  </si>
  <si>
    <t>Cranial: CSF Diversion/ETV/Other (Old DC9)</t>
  </si>
  <si>
    <t>Cranial/Extracranial: Pain (Old DC4)</t>
  </si>
  <si>
    <t>Cranial/Extracranial: Functional Disorder (Old DC8)</t>
  </si>
  <si>
    <t>Cranial/Extracranial: Epilepsy (old DC19)</t>
  </si>
  <si>
    <t xml:space="preserve">Total Cranial (Old DC1-DC9) Total : </t>
  </si>
  <si>
    <t>Spinal</t>
  </si>
  <si>
    <t>Spinal: Anterior Cervical (Old DC10)</t>
  </si>
  <si>
    <t>Spinal: Posterior Cervical (Old DC11)</t>
  </si>
  <si>
    <t>Spinal: Thoracic/Lumbar/Sacral/Instrumentation/Fusion (Old DC13)</t>
  </si>
  <si>
    <t>Spinal: Lumbar Laminectomy/Laminotomy (Old DC12)</t>
  </si>
  <si>
    <t xml:space="preserve">Spinal: Stimulation/Lesion/Pump/Other </t>
  </si>
  <si>
    <t xml:space="preserve">Total Spinal (Old DC10-14) : </t>
  </si>
  <si>
    <t>Peripheral Nerve (Old DC14)</t>
  </si>
  <si>
    <t>Radiosurgery (Old DC7)</t>
  </si>
  <si>
    <t>Peripheral Device Management</t>
  </si>
  <si>
    <t>Critical Care</t>
  </si>
  <si>
    <t>Airway management (Old DC26)</t>
  </si>
  <si>
    <t>Angiography</t>
  </si>
  <si>
    <t>Arterial line placement (Old DC27)</t>
  </si>
  <si>
    <t>CVP line placement (Old DC25)</t>
  </si>
  <si>
    <t>EVD/Transdural Monitor Placement (Old DC 20+21)</t>
  </si>
  <si>
    <t xml:space="preserve">Lumbar/Other Puncture/Drain Placement </t>
  </si>
  <si>
    <t>Percutaneous Tap of CSF Reservoir (Old DC22)</t>
  </si>
  <si>
    <t>Total Critical Care (Old DC20-27)</t>
  </si>
  <si>
    <t>Pediatric</t>
  </si>
  <si>
    <t>Pediatric: Cranial Tumor (Old DC15)</t>
  </si>
  <si>
    <t>Pediatric: Cranial Trauma/Other (Old DC 16)</t>
  </si>
  <si>
    <t>Pediatric: CSF Diversion/ETV/Other (Old DC18)</t>
  </si>
  <si>
    <t>Pediatric: Spinal (Old DC17)</t>
  </si>
  <si>
    <t xml:space="preserve">Total Pediatric (Old DC15-18) : </t>
  </si>
  <si>
    <t xml:space="preserve">Total : </t>
  </si>
  <si>
    <t>Microdissection</t>
  </si>
  <si>
    <t>Total Defined Cases</t>
  </si>
  <si>
    <t>CASE TOTALS</t>
  </si>
  <si>
    <t>Program ID: 1602431037    Program Name: Massachusetts General Hospital Program</t>
  </si>
  <si>
    <t>IC</t>
  </si>
  <si>
    <t>WM</t>
  </si>
  <si>
    <t>FR</t>
  </si>
  <si>
    <t>KE</t>
  </si>
  <si>
    <t>NS</t>
  </si>
  <si>
    <t>OA</t>
  </si>
  <si>
    <t>SJL</t>
  </si>
  <si>
    <t>BP</t>
  </si>
  <si>
    <t>WS</t>
  </si>
  <si>
    <t>JK</t>
  </si>
  <si>
    <t>GN</t>
  </si>
  <si>
    <t>AR</t>
  </si>
  <si>
    <t>GNe</t>
  </si>
  <si>
    <t>EO</t>
  </si>
  <si>
    <t>CR</t>
  </si>
  <si>
    <t>GRC</t>
  </si>
  <si>
    <t>NH</t>
  </si>
  <si>
    <t>RJ</t>
  </si>
  <si>
    <t>PGY-4 Mins</t>
  </si>
  <si>
    <t>Change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</si>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</sst>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3.6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indexed="8"/>
      <name val="Arial"/>
      <family val="2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b/>
      <sz val="10"/>
      <color rgb="FF70FD7D"/>
      <name val="Arial"/>
      <family val="2"/>
    </font>
    <font>
      <b/>
      <sz val="10"/>
      <color theme="0" tint="-0.14999847407452621"/>
      <name val="Arial"/>
      <family val="2"/>
    </font>
    <font>
      <b/>
      <sz val="10"/>
      <color rgb="FFFFF929"/>
      <name val="Arial"/>
      <family val="2"/>
    </font>
    <font>
      <b/>
      <sz val="10"/>
      <color rgb="FFFFFF0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FD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FFA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1D6F6"/>
        <bgColor indexed="64"/>
      </patternFill>
    </fill>
    <fill>
      <patternFill patternType="solid">
        <fgColor rgb="FFCECCC8"/>
        <bgColor indexed="64"/>
      </patternFill>
    </fill>
    <fill>
      <patternFill patternType="solid">
        <fgColor rgb="FFCECCC8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</fills>
  <borders count="9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91">
    <xf numFmtId="0" fontId="0" fillId="0" borderId="0" xfId="0"/>
    <xf numFmtId="0" fontId="4" fillId="0" borderId="5" xfId="0" applyFont="1" applyBorder="1" applyAlignment="1" applyProtection="1">
      <alignment horizontal="left" wrapText="1" readingOrder="1"/>
      <protection locked="0"/>
    </xf>
    <xf numFmtId="0" fontId="2" fillId="0" borderId="9" xfId="0" applyFont="1" applyBorder="1" applyAlignment="1" applyProtection="1">
      <alignment horizontal="center" vertical="top" wrapText="1" readingOrder="1"/>
      <protection locked="0"/>
    </xf>
    <xf numFmtId="0" fontId="2" fillId="3" borderId="12" xfId="0" applyFont="1" applyFill="1" applyBorder="1" applyAlignment="1" applyProtection="1">
      <alignment horizontal="center" vertical="top" wrapText="1" readingOrder="1"/>
      <protection locked="0"/>
    </xf>
    <xf numFmtId="0" fontId="5" fillId="0" borderId="3" xfId="0" applyFont="1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5" fillId="0" borderId="2" xfId="0" applyFont="1" applyBorder="1" applyAlignment="1">
      <alignment horizontal="center"/>
    </xf>
    <xf numFmtId="0" fontId="4" fillId="7" borderId="1" xfId="0" applyFont="1" applyFill="1" applyBorder="1" applyAlignment="1" applyProtection="1">
      <alignment horizontal="center" readingOrder="1"/>
      <protection locked="0"/>
    </xf>
    <xf numFmtId="0" fontId="2" fillId="0" borderId="39" xfId="0" applyFont="1" applyBorder="1" applyAlignment="1" applyProtection="1">
      <alignment horizontal="center" vertical="top" wrapText="1" readingOrder="1"/>
      <protection locked="0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12" xfId="0" applyFont="1" applyFill="1" applyBorder="1" applyAlignment="1" applyProtection="1">
      <alignment horizontal="center" vertical="top" wrapText="1" readingOrder="1"/>
      <protection locked="0"/>
    </xf>
    <xf numFmtId="0" fontId="0" fillId="10" borderId="36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11" fillId="0" borderId="6" xfId="0" applyFont="1" applyBorder="1" applyAlignment="1" applyProtection="1">
      <alignment vertical="top" wrapText="1" readingOrder="1"/>
      <protection locked="0"/>
    </xf>
    <xf numFmtId="0" fontId="5" fillId="0" borderId="0" xfId="0" applyFont="1"/>
    <xf numFmtId="0" fontId="9" fillId="0" borderId="0" xfId="0" applyFont="1" applyAlignment="1">
      <alignment horizontal="left" vertical="top" indent="1"/>
    </xf>
    <xf numFmtId="0" fontId="2" fillId="0" borderId="56" xfId="0" applyFont="1" applyBorder="1" applyAlignment="1" applyProtection="1">
      <alignment vertical="top" wrapText="1" indent="1" readingOrder="1"/>
      <protection locked="0"/>
    </xf>
    <xf numFmtId="0" fontId="2" fillId="0" borderId="57" xfId="0" applyFont="1" applyBorder="1" applyAlignment="1" applyProtection="1">
      <alignment vertical="top" wrapText="1" indent="1" readingOrder="1"/>
      <protection locked="0"/>
    </xf>
    <xf numFmtId="0" fontId="2" fillId="0" borderId="58" xfId="0" applyFont="1" applyBorder="1" applyAlignment="1" applyProtection="1">
      <alignment vertical="top" wrapText="1" indent="1" readingOrder="1"/>
      <protection locked="0"/>
    </xf>
    <xf numFmtId="0" fontId="1" fillId="0" borderId="2" xfId="0" applyFont="1" applyBorder="1" applyAlignment="1" applyProtection="1">
      <alignment horizontal="right" vertical="top" wrapText="1" readingOrder="1"/>
      <protection locked="0"/>
    </xf>
    <xf numFmtId="0" fontId="11" fillId="0" borderId="58" xfId="0" applyFont="1" applyBorder="1" applyAlignment="1" applyProtection="1">
      <alignment vertical="top" wrapText="1" readingOrder="1"/>
      <protection locked="0"/>
    </xf>
    <xf numFmtId="0" fontId="1" fillId="3" borderId="12" xfId="0" applyFont="1" applyFill="1" applyBorder="1" applyAlignment="1" applyProtection="1">
      <alignment horizontal="center" vertical="top" wrapText="1" readingOrder="1"/>
      <protection locked="0"/>
    </xf>
    <xf numFmtId="0" fontId="0" fillId="2" borderId="0" xfId="0" applyFill="1"/>
    <xf numFmtId="0" fontId="2" fillId="2" borderId="12" xfId="0" applyFont="1" applyFill="1" applyBorder="1" applyAlignment="1" applyProtection="1">
      <alignment horizontal="center" vertical="top" wrapText="1" readingOrder="1"/>
      <protection locked="0"/>
    </xf>
    <xf numFmtId="0" fontId="2" fillId="2" borderId="23" xfId="0" applyFont="1" applyFill="1" applyBorder="1" applyAlignment="1" applyProtection="1">
      <alignment horizontal="center" vertical="top" wrapText="1" readingOrder="1"/>
      <protection locked="0"/>
    </xf>
    <xf numFmtId="0" fontId="2" fillId="2" borderId="25" xfId="0" applyFont="1" applyFill="1" applyBorder="1" applyAlignment="1" applyProtection="1">
      <alignment horizontal="center" vertical="top" wrapText="1" readingOrder="1"/>
      <protection locked="0"/>
    </xf>
    <xf numFmtId="0" fontId="1" fillId="3" borderId="20" xfId="0" applyFont="1" applyFill="1" applyBorder="1" applyAlignment="1" applyProtection="1">
      <alignment horizontal="center" vertical="top" wrapText="1" readingOrder="1"/>
      <protection locked="0"/>
    </xf>
    <xf numFmtId="0" fontId="1" fillId="2" borderId="10" xfId="0" applyFont="1" applyFill="1" applyBorder="1" applyAlignment="1" applyProtection="1">
      <alignment horizontal="center" vertical="top" wrapText="1" readingOrder="1"/>
      <protection locked="0"/>
    </xf>
    <xf numFmtId="0" fontId="2" fillId="2" borderId="22" xfId="0" applyFont="1" applyFill="1" applyBorder="1" applyAlignment="1" applyProtection="1">
      <alignment horizontal="center" vertical="top" wrapText="1" readingOrder="1"/>
      <protection locked="0"/>
    </xf>
    <xf numFmtId="0" fontId="1" fillId="8" borderId="12" xfId="0" applyFont="1" applyFill="1" applyBorder="1" applyAlignment="1" applyProtection="1">
      <alignment horizontal="center" vertical="top" wrapText="1" readingOrder="1"/>
      <protection locked="0"/>
    </xf>
    <xf numFmtId="0" fontId="4" fillId="8" borderId="2" xfId="0" applyFont="1" applyFill="1" applyBorder="1" applyAlignment="1" applyProtection="1">
      <alignment horizontal="center" wrapText="1" readingOrder="1"/>
      <protection locked="0"/>
    </xf>
    <xf numFmtId="0" fontId="5" fillId="8" borderId="12" xfId="0" applyFont="1" applyFill="1" applyBorder="1" applyAlignment="1">
      <alignment horizontal="center"/>
    </xf>
    <xf numFmtId="0" fontId="0" fillId="13" borderId="32" xfId="0" applyFill="1" applyBorder="1"/>
    <xf numFmtId="0" fontId="0" fillId="13" borderId="33" xfId="0" applyFill="1" applyBorder="1"/>
    <xf numFmtId="0" fontId="0" fillId="13" borderId="35" xfId="0" applyFill="1" applyBorder="1"/>
    <xf numFmtId="0" fontId="0" fillId="13" borderId="36" xfId="0" applyFill="1" applyBorder="1"/>
    <xf numFmtId="0" fontId="5" fillId="0" borderId="35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9" fillId="2" borderId="14" xfId="0" applyFont="1" applyFill="1" applyBorder="1" applyAlignment="1">
      <alignment vertical="top"/>
    </xf>
    <xf numFmtId="15" fontId="13" fillId="9" borderId="33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14" fillId="14" borderId="0" xfId="0" applyFont="1" applyFill="1"/>
    <xf numFmtId="0" fontId="15" fillId="14" borderId="0" xfId="0" applyFont="1" applyFill="1" applyAlignment="1" applyProtection="1">
      <alignment horizontal="center" vertical="top" wrapText="1" readingOrder="1"/>
      <protection locked="0"/>
    </xf>
    <xf numFmtId="0" fontId="16" fillId="14" borderId="0" xfId="0" applyFont="1" applyFill="1" applyAlignment="1">
      <alignment horizontal="center" vertical="center"/>
    </xf>
    <xf numFmtId="0" fontId="17" fillId="14" borderId="12" xfId="0" applyFont="1" applyFill="1" applyBorder="1" applyAlignment="1" applyProtection="1">
      <alignment horizontal="center" vertical="top" wrapText="1" readingOrder="1"/>
      <protection locked="0"/>
    </xf>
    <xf numFmtId="0" fontId="18" fillId="14" borderId="12" xfId="0" applyFont="1" applyFill="1" applyBorder="1" applyAlignment="1" applyProtection="1">
      <alignment horizontal="center" vertical="top" wrapText="1" readingOrder="1"/>
      <protection locked="0"/>
    </xf>
    <xf numFmtId="0" fontId="18" fillId="14" borderId="0" xfId="0" applyFont="1" applyFill="1" applyAlignment="1" applyProtection="1">
      <alignment horizontal="center" vertical="top" wrapText="1" readingOrder="1"/>
      <protection locked="0"/>
    </xf>
    <xf numFmtId="0" fontId="19" fillId="14" borderId="0" xfId="0" applyFont="1" applyFill="1" applyAlignment="1" applyProtection="1">
      <alignment horizontal="center" vertical="top" wrapText="1" readingOrder="1"/>
      <protection locked="0"/>
    </xf>
    <xf numFmtId="0" fontId="19" fillId="14" borderId="0" xfId="0" applyFont="1" applyFill="1" applyAlignment="1" applyProtection="1">
      <alignment vertical="top" wrapText="1" indent="1" readingOrder="1"/>
      <protection locked="0"/>
    </xf>
    <xf numFmtId="0" fontId="2" fillId="2" borderId="11" xfId="0" applyFont="1" applyFill="1" applyBorder="1" applyAlignment="1" applyProtection="1">
      <alignment horizontal="center" vertical="top" wrapText="1" readingOrder="1"/>
      <protection locked="0"/>
    </xf>
    <xf numFmtId="0" fontId="2" fillId="2" borderId="18" xfId="0" applyFont="1" applyFill="1" applyBorder="1" applyAlignment="1" applyProtection="1">
      <alignment horizontal="center" vertical="top" wrapText="1" readingOrder="1"/>
      <protection locked="0"/>
    </xf>
    <xf numFmtId="0" fontId="2" fillId="2" borderId="19" xfId="0" applyFont="1" applyFill="1" applyBorder="1" applyAlignment="1" applyProtection="1">
      <alignment horizontal="center" vertical="top" wrapText="1" readingOrder="1"/>
      <protection locked="0"/>
    </xf>
    <xf numFmtId="0" fontId="2" fillId="2" borderId="21" xfId="0" applyFont="1" applyFill="1" applyBorder="1" applyAlignment="1" applyProtection="1">
      <alignment horizontal="center" vertical="top" wrapText="1" readingOrder="1"/>
      <protection locked="0"/>
    </xf>
    <xf numFmtId="0" fontId="9" fillId="2" borderId="21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2" fillId="2" borderId="29" xfId="0" applyFont="1" applyFill="1" applyBorder="1" applyAlignment="1" applyProtection="1">
      <alignment horizontal="center" vertical="top" wrapText="1" readingOrder="1"/>
      <protection locked="0"/>
    </xf>
    <xf numFmtId="0" fontId="2" fillId="2" borderId="17" xfId="0" applyFont="1" applyFill="1" applyBorder="1" applyAlignment="1" applyProtection="1">
      <alignment horizontal="center" vertical="top" wrapText="1" readingOrder="1"/>
      <protection locked="0"/>
    </xf>
    <xf numFmtId="0" fontId="2" fillId="2" borderId="7" xfId="0" applyFont="1" applyFill="1" applyBorder="1" applyAlignment="1" applyProtection="1">
      <alignment horizontal="center" vertical="top" wrapText="1" readingOrder="1"/>
      <protection locked="0"/>
    </xf>
    <xf numFmtId="0" fontId="2" fillId="2" borderId="10" xfId="0" applyFont="1" applyFill="1" applyBorder="1" applyAlignment="1" applyProtection="1">
      <alignment horizontal="center" vertical="top" wrapText="1" readingOrder="1"/>
      <protection locked="0"/>
    </xf>
    <xf numFmtId="0" fontId="9" fillId="2" borderId="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2" fillId="2" borderId="30" xfId="0" applyFont="1" applyFill="1" applyBorder="1" applyAlignment="1" applyProtection="1">
      <alignment horizontal="center" vertical="top" wrapText="1" readingOrder="1"/>
      <protection locked="0"/>
    </xf>
    <xf numFmtId="0" fontId="2" fillId="2" borderId="20" xfId="0" applyFont="1" applyFill="1" applyBorder="1" applyAlignment="1" applyProtection="1">
      <alignment horizontal="center" vertical="top" wrapText="1" readingOrder="1"/>
      <protection locked="0"/>
    </xf>
    <xf numFmtId="0" fontId="1" fillId="2" borderId="15" xfId="0" applyFont="1" applyFill="1" applyBorder="1" applyAlignment="1" applyProtection="1">
      <alignment horizontal="center" vertical="top" wrapText="1" readingOrder="1"/>
      <protection locked="0"/>
    </xf>
    <xf numFmtId="0" fontId="1" fillId="2" borderId="26" xfId="0" applyFont="1" applyFill="1" applyBorder="1" applyAlignment="1" applyProtection="1">
      <alignment horizontal="center" vertical="top" wrapText="1" readingOrder="1"/>
      <protection locked="0"/>
    </xf>
    <xf numFmtId="0" fontId="1" fillId="2" borderId="14" xfId="0" applyFont="1" applyFill="1" applyBorder="1" applyAlignment="1" applyProtection="1">
      <alignment horizontal="center" vertical="top" wrapText="1" readingOrder="1"/>
      <protection locked="0"/>
    </xf>
    <xf numFmtId="0" fontId="10" fillId="2" borderId="53" xfId="0" applyFont="1" applyFill="1" applyBorder="1" applyAlignment="1">
      <alignment horizontal="center" vertical="center"/>
    </xf>
    <xf numFmtId="0" fontId="10" fillId="2" borderId="49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2" fillId="2" borderId="13" xfId="0" applyFont="1" applyFill="1" applyBorder="1" applyAlignment="1" applyProtection="1">
      <alignment horizontal="center" vertical="top" wrapText="1" readingOrder="1"/>
      <protection locked="0"/>
    </xf>
    <xf numFmtId="0" fontId="1" fillId="2" borderId="65" xfId="0" applyFont="1" applyFill="1" applyBorder="1" applyAlignment="1" applyProtection="1">
      <alignment horizontal="center" vertical="top" wrapText="1" readingOrder="1"/>
      <protection locked="0"/>
    </xf>
    <xf numFmtId="0" fontId="1" fillId="2" borderId="66" xfId="0" applyFont="1" applyFill="1" applyBorder="1" applyAlignment="1" applyProtection="1">
      <alignment horizontal="center" vertical="top" wrapText="1" readingOrder="1"/>
      <protection locked="0"/>
    </xf>
    <xf numFmtId="0" fontId="1" fillId="2" borderId="67" xfId="0" applyFont="1" applyFill="1" applyBorder="1" applyAlignment="1" applyProtection="1">
      <alignment horizontal="center" vertical="top" wrapText="1" readingOrder="1"/>
      <protection locked="0"/>
    </xf>
    <xf numFmtId="0" fontId="2" fillId="2" borderId="24" xfId="0" applyFont="1" applyFill="1" applyBorder="1" applyAlignment="1" applyProtection="1">
      <alignment horizontal="center" vertical="top" wrapText="1" readingOrder="1"/>
      <protection locked="0"/>
    </xf>
    <xf numFmtId="0" fontId="2" fillId="2" borderId="63" xfId="0" applyFont="1" applyFill="1" applyBorder="1" applyAlignment="1" applyProtection="1">
      <alignment horizontal="center" vertical="top" wrapText="1" readingOrder="1"/>
      <protection locked="0"/>
    </xf>
    <xf numFmtId="0" fontId="2" fillId="2" borderId="61" xfId="0" applyFont="1" applyFill="1" applyBorder="1" applyAlignment="1" applyProtection="1">
      <alignment horizontal="center" vertical="top" wrapText="1" readingOrder="1"/>
      <protection locked="0"/>
    </xf>
    <xf numFmtId="0" fontId="9" fillId="2" borderId="12" xfId="0" applyFont="1" applyFill="1" applyBorder="1" applyAlignment="1" applyProtection="1">
      <alignment horizontal="center" vertical="top" wrapText="1" readingOrder="1"/>
      <protection locked="0"/>
    </xf>
    <xf numFmtId="0" fontId="2" fillId="2" borderId="16" xfId="0" applyFont="1" applyFill="1" applyBorder="1" applyAlignment="1" applyProtection="1">
      <alignment horizontal="center" vertical="top" wrapText="1" readingOrder="1"/>
      <protection locked="0"/>
    </xf>
    <xf numFmtId="0" fontId="9" fillId="2" borderId="8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1" fillId="2" borderId="43" xfId="0" applyFont="1" applyFill="1" applyBorder="1" applyAlignment="1" applyProtection="1">
      <alignment horizontal="center" vertical="top" wrapText="1" readingOrder="1"/>
      <protection locked="0"/>
    </xf>
    <xf numFmtId="0" fontId="1" fillId="2" borderId="60" xfId="0" applyFont="1" applyFill="1" applyBorder="1" applyAlignment="1" applyProtection="1">
      <alignment horizontal="center" vertical="top" wrapText="1" readingOrder="1"/>
      <protection locked="0"/>
    </xf>
    <xf numFmtId="0" fontId="1" fillId="2" borderId="62" xfId="0" applyFont="1" applyFill="1" applyBorder="1" applyAlignment="1" applyProtection="1">
      <alignment horizontal="center" vertical="top" wrapText="1" readingOrder="1"/>
      <protection locked="0"/>
    </xf>
    <xf numFmtId="0" fontId="1" fillId="2" borderId="49" xfId="0" applyFont="1" applyFill="1" applyBorder="1" applyAlignment="1" applyProtection="1">
      <alignment horizontal="center" vertical="top" wrapText="1" readingOrder="1"/>
      <protection locked="0"/>
    </xf>
    <xf numFmtId="0" fontId="1" fillId="2" borderId="28" xfId="0" applyFont="1" applyFill="1" applyBorder="1" applyAlignment="1" applyProtection="1">
      <alignment horizontal="center" vertical="top" wrapText="1" readingOrder="1"/>
      <protection locked="0"/>
    </xf>
    <xf numFmtId="0" fontId="9" fillId="2" borderId="17" xfId="0" applyFont="1" applyFill="1" applyBorder="1" applyAlignment="1">
      <alignment horizontal="center" vertical="center"/>
    </xf>
    <xf numFmtId="0" fontId="1" fillId="2" borderId="51" xfId="0" applyFont="1" applyFill="1" applyBorder="1" applyAlignment="1" applyProtection="1">
      <alignment horizontal="center" vertical="top" wrapText="1" readingOrder="1"/>
      <protection locked="0"/>
    </xf>
    <xf numFmtId="0" fontId="2" fillId="2" borderId="68" xfId="0" applyFont="1" applyFill="1" applyBorder="1" applyAlignment="1" applyProtection="1">
      <alignment horizontal="center" vertical="top" wrapText="1" readingOrder="1"/>
      <protection locked="0"/>
    </xf>
    <xf numFmtId="0" fontId="9" fillId="2" borderId="20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 applyProtection="1">
      <alignment horizontal="center" vertical="top" wrapText="1" readingOrder="1"/>
      <protection locked="0"/>
    </xf>
    <xf numFmtId="0" fontId="1" fillId="2" borderId="13" xfId="0" applyFont="1" applyFill="1" applyBorder="1" applyAlignment="1" applyProtection="1">
      <alignment horizontal="center" vertical="top" wrapText="1" readingOrder="1"/>
      <protection locked="0"/>
    </xf>
    <xf numFmtId="0" fontId="1" fillId="2" borderId="20" xfId="0" applyFont="1" applyFill="1" applyBorder="1" applyAlignment="1" applyProtection="1">
      <alignment horizontal="center" vertical="top" wrapText="1" readingOrder="1"/>
      <protection locked="0"/>
    </xf>
    <xf numFmtId="0" fontId="2" fillId="2" borderId="31" xfId="0" applyFont="1" applyFill="1" applyBorder="1" applyAlignment="1" applyProtection="1">
      <alignment horizontal="center" vertical="top" wrapText="1" readingOrder="1"/>
      <protection locked="0"/>
    </xf>
    <xf numFmtId="0" fontId="1" fillId="2" borderId="27" xfId="0" applyFont="1" applyFill="1" applyBorder="1" applyAlignment="1" applyProtection="1">
      <alignment horizontal="center" vertical="top" wrapText="1" readingOrder="1"/>
      <protection locked="0"/>
    </xf>
    <xf numFmtId="0" fontId="1" fillId="2" borderId="50" xfId="0" applyFont="1" applyFill="1" applyBorder="1" applyAlignment="1" applyProtection="1">
      <alignment horizontal="center" vertical="top" wrapText="1" readingOrder="1"/>
      <protection locked="0"/>
    </xf>
    <xf numFmtId="0" fontId="10" fillId="2" borderId="15" xfId="0" applyFont="1" applyFill="1" applyBorder="1" applyAlignment="1" applyProtection="1">
      <alignment horizontal="center" vertical="top" wrapText="1" readingOrder="1"/>
      <protection locked="0"/>
    </xf>
    <xf numFmtId="0" fontId="5" fillId="2" borderId="0" xfId="0" applyFont="1" applyFill="1" applyAlignment="1">
      <alignment horizontal="center"/>
    </xf>
    <xf numFmtId="0" fontId="9" fillId="4" borderId="0" xfId="0" applyFont="1" applyFill="1" applyAlignment="1">
      <alignment vertical="top"/>
    </xf>
    <xf numFmtId="0" fontId="2" fillId="15" borderId="18" xfId="0" applyFont="1" applyFill="1" applyBorder="1" applyAlignment="1" applyProtection="1">
      <alignment horizontal="center" vertical="top" wrapText="1" readingOrder="1"/>
      <protection locked="0"/>
    </xf>
    <xf numFmtId="0" fontId="0" fillId="16" borderId="12" xfId="0" applyFill="1" applyBorder="1" applyAlignment="1">
      <alignment horizontal="center"/>
    </xf>
    <xf numFmtId="15" fontId="13" fillId="9" borderId="2" xfId="0" applyNumberFormat="1" applyFont="1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2" fillId="2" borderId="70" xfId="0" applyFont="1" applyFill="1" applyBorder="1" applyAlignment="1" applyProtection="1">
      <alignment horizontal="center" vertical="top" wrapText="1" readingOrder="1"/>
      <protection locked="0"/>
    </xf>
    <xf numFmtId="0" fontId="2" fillId="2" borderId="71" xfId="0" applyFont="1" applyFill="1" applyBorder="1" applyAlignment="1" applyProtection="1">
      <alignment horizontal="center" vertical="top" wrapText="1" readingOrder="1"/>
      <protection locked="0"/>
    </xf>
    <xf numFmtId="0" fontId="2" fillId="2" borderId="69" xfId="0" applyFont="1" applyFill="1" applyBorder="1" applyAlignment="1" applyProtection="1">
      <alignment horizontal="center" vertical="top" wrapText="1" readingOrder="1"/>
      <protection locked="0"/>
    </xf>
    <xf numFmtId="0" fontId="1" fillId="2" borderId="47" xfId="0" applyFont="1" applyFill="1" applyBorder="1" applyAlignment="1" applyProtection="1">
      <alignment horizontal="center" vertical="top" wrapText="1" readingOrder="1"/>
      <protection locked="0"/>
    </xf>
    <xf numFmtId="0" fontId="1" fillId="2" borderId="74" xfId="0" applyFont="1" applyFill="1" applyBorder="1" applyAlignment="1" applyProtection="1">
      <alignment horizontal="center" vertical="top" wrapText="1" readingOrder="1"/>
      <protection locked="0"/>
    </xf>
    <xf numFmtId="0" fontId="2" fillId="2" borderId="75" xfId="0" applyFont="1" applyFill="1" applyBorder="1" applyAlignment="1" applyProtection="1">
      <alignment horizontal="center" vertical="top" wrapText="1" readingOrder="1"/>
      <protection locked="0"/>
    </xf>
    <xf numFmtId="0" fontId="1" fillId="2" borderId="3" xfId="0" applyFont="1" applyFill="1" applyBorder="1" applyAlignment="1" applyProtection="1">
      <alignment horizontal="center" vertical="top" wrapText="1" readingOrder="1"/>
      <protection locked="0"/>
    </xf>
    <xf numFmtId="0" fontId="0" fillId="12" borderId="3" xfId="0" applyFill="1" applyBorder="1" applyAlignment="1">
      <alignment horizontal="center"/>
    </xf>
    <xf numFmtId="0" fontId="1" fillId="2" borderId="36" xfId="0" applyFont="1" applyFill="1" applyBorder="1" applyAlignment="1" applyProtection="1">
      <alignment horizontal="center" vertical="top" wrapText="1" readingOrder="1"/>
      <protection locked="0"/>
    </xf>
    <xf numFmtId="0" fontId="9" fillId="2" borderId="2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/>
    </xf>
    <xf numFmtId="0" fontId="9" fillId="2" borderId="76" xfId="0" applyFont="1" applyFill="1" applyBorder="1" applyAlignment="1">
      <alignment horizontal="center" vertical="center"/>
    </xf>
    <xf numFmtId="0" fontId="10" fillId="2" borderId="7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/>
    </xf>
    <xf numFmtId="0" fontId="9" fillId="2" borderId="78" xfId="0" applyFont="1" applyFill="1" applyBorder="1" applyAlignment="1">
      <alignment horizontal="center" vertical="center"/>
    </xf>
    <xf numFmtId="0" fontId="10" fillId="2" borderId="72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top" wrapText="1" readingOrder="1"/>
      <protection locked="0"/>
    </xf>
    <xf numFmtId="0" fontId="1" fillId="2" borderId="24" xfId="0" applyFont="1" applyFill="1" applyBorder="1" applyAlignment="1" applyProtection="1">
      <alignment horizontal="center" vertical="top" wrapText="1" readingOrder="1"/>
      <protection locked="0"/>
    </xf>
    <xf numFmtId="0" fontId="1" fillId="2" borderId="69" xfId="0" applyFont="1" applyFill="1" applyBorder="1" applyAlignment="1" applyProtection="1">
      <alignment horizontal="center" vertical="top" wrapText="1" readingOrder="1"/>
      <protection locked="0"/>
    </xf>
    <xf numFmtId="0" fontId="1" fillId="2" borderId="42" xfId="0" applyFont="1" applyFill="1" applyBorder="1" applyAlignment="1" applyProtection="1">
      <alignment horizontal="center" vertical="top" wrapText="1" readingOrder="1"/>
      <protection locked="0"/>
    </xf>
    <xf numFmtId="0" fontId="1" fillId="2" borderId="31" xfId="0" applyFont="1" applyFill="1" applyBorder="1" applyAlignment="1" applyProtection="1">
      <alignment horizontal="center"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9" fillId="2" borderId="69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center" vertical="top" wrapText="1" readingOrder="1"/>
      <protection locked="0"/>
    </xf>
    <xf numFmtId="0" fontId="9" fillId="2" borderId="56" xfId="0" applyFont="1" applyFill="1" applyBorder="1" applyAlignment="1">
      <alignment horizontal="center" vertical="center"/>
    </xf>
    <xf numFmtId="0" fontId="2" fillId="2" borderId="79" xfId="0" applyFont="1" applyFill="1" applyBorder="1" applyAlignment="1" applyProtection="1">
      <alignment horizontal="center" vertical="top" wrapText="1" readingOrder="1"/>
      <protection locked="0"/>
    </xf>
    <xf numFmtId="0" fontId="2" fillId="2" borderId="80" xfId="0" applyFont="1" applyFill="1" applyBorder="1" applyAlignment="1" applyProtection="1">
      <alignment horizontal="center" vertical="top" wrapText="1" readingOrder="1"/>
      <protection locked="0"/>
    </xf>
    <xf numFmtId="0" fontId="2" fillId="2" borderId="81" xfId="0" applyFont="1" applyFill="1" applyBorder="1" applyAlignment="1" applyProtection="1">
      <alignment horizontal="center" vertical="top" wrapText="1" readingOrder="1"/>
      <protection locked="0"/>
    </xf>
    <xf numFmtId="0" fontId="1" fillId="2" borderId="82" xfId="0" applyFont="1" applyFill="1" applyBorder="1" applyAlignment="1" applyProtection="1">
      <alignment horizontal="center" vertical="top" wrapText="1" readingOrder="1"/>
      <protection locked="0"/>
    </xf>
    <xf numFmtId="0" fontId="1" fillId="2" borderId="83" xfId="0" applyFont="1" applyFill="1" applyBorder="1" applyAlignment="1" applyProtection="1">
      <alignment horizontal="center" vertical="top" wrapText="1" readingOrder="1"/>
      <protection locked="0"/>
    </xf>
    <xf numFmtId="0" fontId="10" fillId="2" borderId="84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2" fillId="2" borderId="39" xfId="0" applyFont="1" applyFill="1" applyBorder="1" applyAlignment="1" applyProtection="1">
      <alignment horizontal="center" vertical="top" wrapText="1" readingOrder="1"/>
      <protection locked="0"/>
    </xf>
    <xf numFmtId="0" fontId="1" fillId="2" borderId="85" xfId="0" applyFont="1" applyFill="1" applyBorder="1" applyAlignment="1" applyProtection="1">
      <alignment horizontal="center" vertical="top" wrapText="1" readingOrder="1"/>
      <protection locked="0"/>
    </xf>
    <xf numFmtId="0" fontId="2" fillId="2" borderId="86" xfId="0" applyFont="1" applyFill="1" applyBorder="1" applyAlignment="1" applyProtection="1">
      <alignment horizontal="center" vertical="top" wrapText="1" readingOrder="1"/>
      <protection locked="0"/>
    </xf>
    <xf numFmtId="0" fontId="1" fillId="2" borderId="87" xfId="0" applyFont="1" applyFill="1" applyBorder="1" applyAlignment="1" applyProtection="1">
      <alignment horizontal="center" vertical="top" wrapText="1" readingOrder="1"/>
      <protection locked="0"/>
    </xf>
    <xf numFmtId="0" fontId="2" fillId="2" borderId="88" xfId="0" applyFont="1" applyFill="1" applyBorder="1" applyAlignment="1" applyProtection="1">
      <alignment horizontal="center" vertical="top" wrapText="1" readingOrder="1"/>
      <protection locked="0"/>
    </xf>
    <xf numFmtId="0" fontId="2" fillId="2" borderId="89" xfId="0" applyFont="1" applyFill="1" applyBorder="1" applyAlignment="1" applyProtection="1">
      <alignment horizontal="center" vertical="top" wrapText="1" readingOrder="1"/>
      <protection locked="0"/>
    </xf>
    <xf numFmtId="0" fontId="20" fillId="0" borderId="33" xfId="0" applyFont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5" fillId="0" borderId="6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2" xfId="0" applyFont="1" applyBorder="1" applyAlignment="1" applyProtection="1">
      <alignment horizontal="center" vertical="top" wrapText="1" readingOrder="1"/>
      <protection locked="0"/>
    </xf>
    <xf numFmtId="0" fontId="1" fillId="0" borderId="10" xfId="0" applyFont="1" applyBorder="1" applyAlignment="1" applyProtection="1">
      <alignment horizontal="center" vertical="top" wrapText="1" readingOrder="1"/>
      <protection locked="0"/>
    </xf>
    <xf numFmtId="0" fontId="2" fillId="0" borderId="10" xfId="0" applyFont="1" applyBorder="1" applyAlignment="1" applyProtection="1">
      <alignment horizontal="center" vertical="top" wrapText="1" readingOrder="1"/>
      <protection locked="0"/>
    </xf>
    <xf numFmtId="0" fontId="2" fillId="0" borderId="29" xfId="0" applyFont="1" applyBorder="1" applyAlignment="1" applyProtection="1">
      <alignment horizontal="center" vertical="top" wrapText="1" readingOrder="1"/>
      <protection locked="0"/>
    </xf>
    <xf numFmtId="0" fontId="2" fillId="0" borderId="69" xfId="0" applyFont="1" applyBorder="1" applyAlignment="1" applyProtection="1">
      <alignment horizontal="center" vertical="top" wrapText="1" readingOrder="1"/>
      <protection locked="0"/>
    </xf>
    <xf numFmtId="0" fontId="1" fillId="0" borderId="13" xfId="0" applyFont="1" applyBorder="1" applyAlignment="1" applyProtection="1">
      <alignment horizontal="center" vertical="top" wrapText="1" readingOrder="1"/>
      <protection locked="0"/>
    </xf>
    <xf numFmtId="0" fontId="2" fillId="0" borderId="18" xfId="0" applyFont="1" applyBorder="1" applyAlignment="1" applyProtection="1">
      <alignment horizontal="center" vertical="top" wrapText="1" readingOrder="1"/>
      <protection locked="0"/>
    </xf>
    <xf numFmtId="0" fontId="2" fillId="0" borderId="70" xfId="0" applyFont="1" applyBorder="1" applyAlignment="1" applyProtection="1">
      <alignment horizontal="center" vertical="top" wrapText="1" readingOrder="1"/>
      <protection locked="0"/>
    </xf>
    <xf numFmtId="0" fontId="2" fillId="0" borderId="30" xfId="0" applyFont="1" applyBorder="1" applyAlignment="1" applyProtection="1">
      <alignment horizontal="center" vertical="top" wrapText="1" readingOrder="1"/>
      <protection locked="0"/>
    </xf>
    <xf numFmtId="0" fontId="2" fillId="0" borderId="12" xfId="0" applyFont="1" applyBorder="1" applyAlignment="1" applyProtection="1">
      <alignment horizontal="center" vertical="top" wrapText="1" readingOrder="1"/>
      <protection locked="0"/>
    </xf>
    <xf numFmtId="0" fontId="2" fillId="0" borderId="71" xfId="0" applyFont="1" applyBorder="1" applyAlignment="1" applyProtection="1">
      <alignment horizontal="center" vertical="top" wrapText="1" readingOrder="1"/>
      <protection locked="0"/>
    </xf>
    <xf numFmtId="0" fontId="2" fillId="0" borderId="17" xfId="0" applyFont="1" applyBorder="1" applyAlignment="1" applyProtection="1">
      <alignment horizontal="center" vertical="top" wrapText="1" readingOrder="1"/>
      <protection locked="0"/>
    </xf>
    <xf numFmtId="0" fontId="1" fillId="0" borderId="47" xfId="0" applyFont="1" applyBorder="1" applyAlignment="1" applyProtection="1">
      <alignment horizontal="center" vertical="top" wrapText="1" readingOrder="1"/>
      <protection locked="0"/>
    </xf>
    <xf numFmtId="0" fontId="2" fillId="0" borderId="22" xfId="0" applyFont="1" applyBorder="1" applyAlignment="1" applyProtection="1">
      <alignment horizontal="center" vertical="top" wrapText="1" readingOrder="1"/>
      <protection locked="0"/>
    </xf>
    <xf numFmtId="0" fontId="1" fillId="0" borderId="73" xfId="0" applyFont="1" applyBorder="1" applyAlignment="1" applyProtection="1">
      <alignment horizontal="center" vertical="top" wrapText="1" readingOrder="1"/>
      <protection locked="0"/>
    </xf>
    <xf numFmtId="0" fontId="2" fillId="0" borderId="25" xfId="0" applyFont="1" applyBorder="1" applyAlignment="1" applyProtection="1">
      <alignment horizontal="center" vertical="top" wrapText="1" readingOrder="1"/>
      <protection locked="0"/>
    </xf>
    <xf numFmtId="0" fontId="2" fillId="0" borderId="19" xfId="0" applyFont="1" applyBorder="1" applyAlignment="1" applyProtection="1">
      <alignment horizontal="center" vertical="top" wrapText="1" readingOrder="1"/>
      <protection locked="0"/>
    </xf>
    <xf numFmtId="0" fontId="0" fillId="5" borderId="35" xfId="0" applyFill="1" applyBorder="1"/>
    <xf numFmtId="0" fontId="2" fillId="17" borderId="12" xfId="0" applyFont="1" applyFill="1" applyBorder="1" applyAlignment="1" applyProtection="1">
      <alignment horizontal="center" vertical="top" wrapText="1" readingOrder="1"/>
      <protection locked="0"/>
    </xf>
    <xf numFmtId="0" fontId="2" fillId="17" borderId="29" xfId="0" applyFont="1" applyFill="1" applyBorder="1" applyAlignment="1" applyProtection="1">
      <alignment horizontal="center" vertical="top" wrapText="1" readingOrder="1"/>
      <protection locked="0"/>
    </xf>
    <xf numFmtId="0" fontId="9" fillId="17" borderId="22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center" vertical="center"/>
    </xf>
    <xf numFmtId="0" fontId="9" fillId="17" borderId="17" xfId="0" applyFont="1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center" vertical="center"/>
    </xf>
    <xf numFmtId="0" fontId="2" fillId="17" borderId="79" xfId="0" applyFont="1" applyFill="1" applyBorder="1" applyAlignment="1" applyProtection="1">
      <alignment horizontal="center" vertical="top" wrapText="1" readingOrder="1"/>
      <protection locked="0"/>
    </xf>
    <xf numFmtId="0" fontId="2" fillId="17" borderId="80" xfId="0" applyFont="1" applyFill="1" applyBorder="1" applyAlignment="1" applyProtection="1">
      <alignment horizontal="center" vertical="top" wrapText="1" readingOrder="1"/>
      <protection locked="0"/>
    </xf>
    <xf numFmtId="0" fontId="2" fillId="17" borderId="81" xfId="0" applyFont="1" applyFill="1" applyBorder="1" applyAlignment="1" applyProtection="1">
      <alignment horizontal="center" vertical="top" wrapText="1" readingOrder="1"/>
      <protection locked="0"/>
    </xf>
    <xf numFmtId="0" fontId="2" fillId="17" borderId="10" xfId="0" applyFont="1" applyFill="1" applyBorder="1" applyAlignment="1" applyProtection="1">
      <alignment horizontal="center" vertical="top" wrapText="1" readingOrder="1"/>
      <protection locked="0"/>
    </xf>
    <xf numFmtId="0" fontId="2" fillId="17" borderId="7" xfId="0" applyFont="1" applyFill="1" applyBorder="1" applyAlignment="1" applyProtection="1">
      <alignment horizontal="center" vertical="top" wrapText="1" readingOrder="1"/>
      <protection locked="0"/>
    </xf>
    <xf numFmtId="0" fontId="1" fillId="17" borderId="3" xfId="0" applyFont="1" applyFill="1" applyBorder="1" applyAlignment="1" applyProtection="1">
      <alignment horizontal="center" vertical="top" wrapText="1" readingOrder="1"/>
      <protection locked="0"/>
    </xf>
    <xf numFmtId="0" fontId="2" fillId="17" borderId="40" xfId="0" applyFont="1" applyFill="1" applyBorder="1" applyAlignment="1" applyProtection="1">
      <alignment horizontal="center" vertical="top" wrapText="1" readingOrder="1"/>
      <protection locked="0"/>
    </xf>
    <xf numFmtId="0" fontId="2" fillId="17" borderId="17" xfId="0" applyFont="1" applyFill="1" applyBorder="1" applyAlignment="1" applyProtection="1">
      <alignment horizontal="center" vertical="top" wrapText="1" readingOrder="1"/>
      <protection locked="0"/>
    </xf>
    <xf numFmtId="0" fontId="2" fillId="17" borderId="69" xfId="0" applyFont="1" applyFill="1" applyBorder="1" applyAlignment="1" applyProtection="1">
      <alignment horizontal="center" vertical="top" wrapText="1" readingOrder="1"/>
      <protection locked="0"/>
    </xf>
    <xf numFmtId="0" fontId="2" fillId="17" borderId="70" xfId="0" applyFont="1" applyFill="1" applyBorder="1" applyAlignment="1" applyProtection="1">
      <alignment horizontal="center" vertical="top" wrapText="1" readingOrder="1"/>
      <protection locked="0"/>
    </xf>
    <xf numFmtId="0" fontId="2" fillId="17" borderId="30" xfId="0" applyFont="1" applyFill="1" applyBorder="1" applyAlignment="1" applyProtection="1">
      <alignment horizontal="center" vertical="top" wrapText="1" readingOrder="1"/>
      <protection locked="0"/>
    </xf>
    <xf numFmtId="0" fontId="1" fillId="17" borderId="17" xfId="0" applyFont="1" applyFill="1" applyBorder="1" applyAlignment="1" applyProtection="1">
      <alignment horizontal="center" vertical="top" wrapText="1" readingOrder="1"/>
      <protection locked="0"/>
    </xf>
    <xf numFmtId="0" fontId="1" fillId="17" borderId="12" xfId="0" applyFont="1" applyFill="1" applyBorder="1" applyAlignment="1" applyProtection="1">
      <alignment horizontal="center" vertical="top" wrapText="1" readingOrder="1"/>
      <protection locked="0"/>
    </xf>
    <xf numFmtId="0" fontId="1" fillId="17" borderId="72" xfId="0" applyFont="1" applyFill="1" applyBorder="1" applyAlignment="1" applyProtection="1">
      <alignment horizontal="center" vertical="top" wrapText="1" readingOrder="1"/>
      <protection locked="0"/>
    </xf>
    <xf numFmtId="0" fontId="1" fillId="17" borderId="10" xfId="0" applyFont="1" applyFill="1" applyBorder="1" applyAlignment="1" applyProtection="1">
      <alignment horizontal="center" vertical="top" wrapText="1" readingOrder="1"/>
      <protection locked="0"/>
    </xf>
    <xf numFmtId="0" fontId="5" fillId="0" borderId="59" xfId="0" applyFont="1" applyBorder="1" applyAlignment="1">
      <alignment horizontal="center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4" fillId="17" borderId="33" xfId="0" applyFont="1" applyFill="1" applyBorder="1" applyAlignment="1" applyProtection="1">
      <alignment horizontal="center" wrapText="1" readingOrder="1"/>
      <protection locked="0"/>
    </xf>
    <xf numFmtId="0" fontId="2" fillId="2" borderId="55" xfId="0" applyFont="1" applyFill="1" applyBorder="1" applyAlignment="1" applyProtection="1">
      <alignment horizontal="center" vertical="top" wrapText="1" readingOrder="1"/>
      <protection locked="0"/>
    </xf>
    <xf numFmtId="0" fontId="1" fillId="2" borderId="11" xfId="0" applyFont="1" applyFill="1" applyBorder="1" applyAlignment="1" applyProtection="1">
      <alignment horizontal="center" vertical="top" wrapText="1" readingOrder="1"/>
      <protection locked="0"/>
    </xf>
    <xf numFmtId="0" fontId="1" fillId="17" borderId="19" xfId="0" applyFont="1" applyFill="1" applyBorder="1" applyAlignment="1" applyProtection="1">
      <alignment horizontal="center" vertical="top" wrapText="1" readingOrder="1"/>
      <protection locked="0"/>
    </xf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2" borderId="29" xfId="0" applyFont="1" applyFill="1" applyBorder="1" applyAlignment="1" applyProtection="1">
      <alignment horizontal="center" vertical="top" wrapText="1" readingOrder="1"/>
      <protection locked="0"/>
    </xf>
    <xf numFmtId="0" fontId="1" fillId="2" borderId="17" xfId="0" applyFont="1" applyFill="1" applyBorder="1" applyAlignment="1" applyProtection="1">
      <alignment horizontal="center" vertical="top" wrapText="1" readingOrder="1"/>
      <protection locked="0"/>
    </xf>
    <xf numFmtId="0" fontId="1" fillId="2" borderId="48" xfId="0" applyFont="1" applyFill="1" applyBorder="1" applyAlignment="1" applyProtection="1">
      <alignment horizontal="center" vertical="top" wrapText="1" readingOrder="1"/>
      <protection locked="0"/>
    </xf>
    <xf numFmtId="14" fontId="21" fillId="0" borderId="0" xfId="0" applyNumberFormat="1" applyFont="1"/>
    <xf numFmtId="0" fontId="0" fillId="0" borderId="52" xfId="0" applyBorder="1" applyAlignment="1">
      <alignment horizontal="center"/>
    </xf>
    <xf numFmtId="0" fontId="0" fillId="12" borderId="36" xfId="0" applyFill="1" applyBorder="1"/>
    <xf numFmtId="0" fontId="0" fillId="12" borderId="33" xfId="0" applyFill="1" applyBorder="1"/>
    <xf numFmtId="0" fontId="1" fillId="0" borderId="0" xfId="0" applyFont="1" applyAlignment="1" applyProtection="1">
      <alignment horizontal="left" vertical="top" wrapText="1" readingOrder="1"/>
      <protection locked="0"/>
    </xf>
    <xf numFmtId="0" fontId="0" fillId="12" borderId="3" xfId="0" applyFill="1" applyBorder="1"/>
    <xf numFmtId="0" fontId="20" fillId="18" borderId="33" xfId="0" applyFont="1" applyFill="1" applyBorder="1" applyAlignment="1">
      <alignment horizontal="center"/>
    </xf>
    <xf numFmtId="0" fontId="0" fillId="18" borderId="33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8" fillId="20" borderId="33" xfId="0" applyFont="1" applyFill="1" applyBorder="1" applyAlignment="1">
      <alignment horizontal="center"/>
    </xf>
    <xf numFmtId="0" fontId="8" fillId="20" borderId="34" xfId="0" applyFont="1" applyFill="1" applyBorder="1" applyAlignment="1">
      <alignment horizontal="center"/>
    </xf>
    <xf numFmtId="0" fontId="0" fillId="19" borderId="43" xfId="0" applyFill="1" applyBorder="1" applyAlignment="1">
      <alignment horizontal="center"/>
    </xf>
    <xf numFmtId="0" fontId="0" fillId="19" borderId="44" xfId="0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16" fontId="0" fillId="0" borderId="0" xfId="0" applyNumberFormat="1"/>
    <xf numFmtId="14" fontId="0" fillId="0" borderId="0" xfId="0" applyNumberFormat="1"/>
    <xf numFmtId="0" fontId="20" fillId="21" borderId="33" xfId="0" applyFont="1" applyFill="1" applyBorder="1" applyAlignment="1">
      <alignment horizontal="center"/>
    </xf>
    <xf numFmtId="0" fontId="0" fillId="21" borderId="71" xfId="0" applyFill="1" applyBorder="1"/>
    <xf numFmtId="0" fontId="0" fillId="21" borderId="3" xfId="0" applyFill="1" applyBorder="1" applyAlignment="1">
      <alignment horizontal="center"/>
    </xf>
    <xf numFmtId="0" fontId="20" fillId="22" borderId="33" xfId="0" applyFont="1" applyFill="1" applyBorder="1" applyAlignment="1">
      <alignment horizontal="center"/>
    </xf>
    <xf numFmtId="0" fontId="0" fillId="22" borderId="36" xfId="0" applyFill="1" applyBorder="1"/>
    <xf numFmtId="0" fontId="0" fillId="22" borderId="3" xfId="0" applyFill="1" applyBorder="1" applyAlignment="1">
      <alignment horizontal="center"/>
    </xf>
    <xf numFmtId="0" fontId="8" fillId="23" borderId="32" xfId="0" applyFont="1" applyFill="1" applyBorder="1" applyAlignment="1">
      <alignment horizontal="center"/>
    </xf>
    <xf numFmtId="0" fontId="0" fillId="22" borderId="33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" borderId="45" xfId="0" applyFill="1" applyBorder="1" applyAlignment="1">
      <alignment horizontal="center"/>
    </xf>
    <xf numFmtId="0" fontId="20" fillId="2" borderId="33" xfId="0" applyFont="1" applyFill="1" applyBorder="1" applyAlignment="1">
      <alignment horizontal="center"/>
    </xf>
    <xf numFmtId="0" fontId="22" fillId="2" borderId="33" xfId="0" applyFont="1" applyFill="1" applyBorder="1" applyAlignment="1">
      <alignment horizontal="center"/>
    </xf>
    <xf numFmtId="0" fontId="22" fillId="11" borderId="33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0" fillId="11" borderId="33" xfId="0" applyFill="1" applyBorder="1" applyAlignment="1">
      <alignment horizontal="center"/>
    </xf>
    <xf numFmtId="0" fontId="20" fillId="12" borderId="32" xfId="0" applyFont="1" applyFill="1" applyBorder="1" applyAlignment="1">
      <alignment horizontal="center"/>
    </xf>
    <xf numFmtId="0" fontId="8" fillId="23" borderId="34" xfId="0" applyFont="1" applyFill="1" applyBorder="1" applyAlignment="1">
      <alignment horizontal="center"/>
    </xf>
    <xf numFmtId="0" fontId="0" fillId="22" borderId="37" xfId="0" applyFill="1" applyBorder="1" applyAlignment="1">
      <alignment horizontal="center"/>
    </xf>
    <xf numFmtId="0" fontId="1" fillId="2" borderId="18" xfId="0" applyFont="1" applyFill="1" applyBorder="1" applyAlignment="1" applyProtection="1">
      <alignment horizontal="center" vertical="top" wrapText="1" readingOrder="1"/>
      <protection locked="0"/>
    </xf>
    <xf numFmtId="0" fontId="1" fillId="2" borderId="19" xfId="0" applyFont="1" applyFill="1" applyBorder="1" applyAlignment="1" applyProtection="1">
      <alignment horizontal="center" vertical="top" wrapText="1" readingOrder="1"/>
      <protection locked="0"/>
    </xf>
    <xf numFmtId="0" fontId="1" fillId="2" borderId="25" xfId="0" applyFont="1" applyFill="1" applyBorder="1" applyAlignment="1" applyProtection="1">
      <alignment horizontal="center" vertical="top" wrapText="1" readingOrder="1"/>
      <protection locked="0"/>
    </xf>
    <xf numFmtId="0" fontId="1" fillId="2" borderId="64" xfId="0" applyFont="1" applyFill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left" vertical="top" wrapText="1" readingOrder="1"/>
      <protection locked="0"/>
    </xf>
    <xf numFmtId="0" fontId="1" fillId="0" borderId="32" xfId="0" applyFont="1" applyBorder="1" applyAlignment="1" applyProtection="1">
      <alignment horizontal="left" vertical="top" wrapText="1" readingOrder="1"/>
      <protection locked="0"/>
    </xf>
    <xf numFmtId="0" fontId="1" fillId="0" borderId="35" xfId="0" applyFont="1" applyBorder="1" applyAlignment="1" applyProtection="1">
      <alignment vertical="top" wrapText="1" readingOrder="1"/>
      <protection locked="0"/>
    </xf>
    <xf numFmtId="0" fontId="1" fillId="0" borderId="2" xfId="0" applyFont="1" applyBorder="1" applyAlignment="1" applyProtection="1">
      <alignment horizontal="right" vertical="top" wrapText="1" indent="1" readingOrder="1"/>
      <protection locked="0"/>
    </xf>
    <xf numFmtId="0" fontId="1" fillId="8" borderId="20" xfId="0" applyFont="1" applyFill="1" applyBorder="1" applyAlignment="1" applyProtection="1">
      <alignment horizontal="center" vertical="top" wrapText="1" readingOrder="1"/>
      <protection locked="0"/>
    </xf>
    <xf numFmtId="0" fontId="1" fillId="2" borderId="56" xfId="0" applyFont="1" applyFill="1" applyBorder="1" applyAlignment="1" applyProtection="1">
      <alignment horizontal="center" vertical="top" wrapText="1" readingOrder="1"/>
      <protection locked="0"/>
    </xf>
    <xf numFmtId="0" fontId="1" fillId="0" borderId="58" xfId="0" applyFont="1" applyBorder="1" applyAlignment="1" applyProtection="1">
      <alignment vertical="top" wrapText="1" readingOrder="1"/>
      <protection locked="0"/>
    </xf>
    <xf numFmtId="0" fontId="16" fillId="14" borderId="0" xfId="0" applyFont="1" applyFill="1" applyAlignment="1" applyProtection="1">
      <alignment vertical="top" wrapText="1" indent="1" readingOrder="1"/>
      <protection locked="0"/>
    </xf>
    <xf numFmtId="0" fontId="16" fillId="14" borderId="0" xfId="0" applyFont="1" applyFill="1" applyAlignment="1" applyProtection="1">
      <alignment horizontal="center" vertical="top" wrapText="1" readingOrder="1"/>
      <protection locked="0"/>
    </xf>
    <xf numFmtId="0" fontId="16" fillId="14" borderId="12" xfId="0" applyFont="1" applyFill="1" applyBorder="1" applyAlignment="1" applyProtection="1">
      <alignment horizontal="center" vertical="top" wrapText="1" readingOrder="1"/>
      <protection locked="0"/>
    </xf>
    <xf numFmtId="0" fontId="2" fillId="2" borderId="57" xfId="0" applyFont="1" applyFill="1" applyBorder="1" applyAlignment="1" applyProtection="1">
      <alignment vertical="top" wrapText="1" indent="1" readingOrder="1"/>
      <protection locked="0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22" borderId="2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14" fontId="1" fillId="4" borderId="0" xfId="0" applyNumberFormat="1" applyFont="1" applyFill="1" applyAlignment="1" applyProtection="1">
      <alignment horizontal="left" vertical="top" wrapText="1" readingOrder="1"/>
      <protection locked="0"/>
    </xf>
    <xf numFmtId="0" fontId="1" fillId="4" borderId="0" xfId="0" applyFont="1" applyFill="1" applyAlignment="1" applyProtection="1">
      <alignment horizontal="left" vertical="top" wrapText="1" readingOrder="1"/>
      <protection locked="0"/>
    </xf>
    <xf numFmtId="0" fontId="12" fillId="13" borderId="2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0" fillId="0" borderId="0" xfId="0" applyAlignment="1"/>
    <xf numFmtId="0" fontId="0" fillId="4" borderId="0" xfId="0" applyFill="1" applyAlignment="1"/>
    <xf numFmtId="0" fontId="0" fillId="5" borderId="33" xfId="0" applyFill="1" applyBorder="1" applyAlignment="1"/>
    <xf numFmtId="0" fontId="0" fillId="5" borderId="34" xfId="0" applyFill="1" applyBorder="1" applyAlignment="1"/>
    <xf numFmtId="0" fontId="0" fillId="6" borderId="33" xfId="0" applyFill="1" applyBorder="1" applyAlignment="1"/>
    <xf numFmtId="0" fontId="0" fillId="6" borderId="34" xfId="0" applyFill="1" applyBorder="1" applyAlignment="1"/>
    <xf numFmtId="0" fontId="0" fillId="5" borderId="36" xfId="0" applyFill="1" applyBorder="1" applyAlignment="1"/>
    <xf numFmtId="0" fontId="0" fillId="5" borderId="37" xfId="0" applyFill="1" applyBorder="1" applyAlignment="1"/>
    <xf numFmtId="0" fontId="0" fillId="6" borderId="36" xfId="0" applyFill="1" applyBorder="1" applyAlignment="1"/>
    <xf numFmtId="0" fontId="0" fillId="6" borderId="37" xfId="0" applyFill="1" applyBorder="1" applyAlignment="1"/>
    <xf numFmtId="0" fontId="0" fillId="12" borderId="2" xfId="0" applyFill="1" applyBorder="1" applyAlignment="1"/>
    <xf numFmtId="0" fontId="0" fillId="12" borderId="3" xfId="0" applyFill="1" applyBorder="1" applyAlignment="1"/>
    <xf numFmtId="0" fontId="0" fillId="12" borderId="33" xfId="0" applyFill="1" applyBorder="1" applyAlignment="1"/>
    <xf numFmtId="0" fontId="0" fillId="12" borderId="36" xfId="0" applyFill="1" applyBorder="1" applyAlignment="1"/>
  </cellXfs>
  <cellStyles count="3">
    <cellStyle name="Followed Hyperlink" xfId="2" builtinId="9" hidden="1"/>
    <cellStyle name="Hyperlink" xfId="1" builtinId="8" hidden="1"/>
    <cellStyle name="Normal" xfId="0" builtinId="0"/>
  </cellStyles>
  <dxfs count="69"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55ED63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Medium7"/>
  <colors>
    <mruColors>
      <color rgb="FFF1D6F6"/>
      <color rgb="FFCECCC8"/>
      <color rgb="FFB5B1AB"/>
      <color rgb="FF68F5FC"/>
      <color rgb="FF05CFD9"/>
      <color rgb="FFCC66FF"/>
      <color rgb="FFFFFF99"/>
      <color rgb="FF20EC38"/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6E59-05AC-4919-8B3D-3946643CFB8D}">
  <dimension ref="A1:AD49"/>
  <sheetViews>
    <sheetView tabSelected="1" zoomScale="55" zoomScaleNormal="55" workbookViewId="0">
      <pane xSplit="3" ySplit="5" topLeftCell="O6" activePane="bottomRight" state="frozen"/>
      <selection pane="bottomRight" activeCell="Q9" sqref="Q9"/>
      <selection pane="bottomLeft" activeCell="A5" sqref="A5"/>
      <selection pane="topRight" activeCell="D1" sqref="D1"/>
    </sheetView>
  </sheetViews>
  <sheetFormatPr defaultColWidth="11" defaultRowHeight="15.6"/>
  <cols>
    <col min="1" max="1" width="46.875" customWidth="1"/>
    <col min="2" max="2" width="11.375" style="13" customWidth="1"/>
    <col min="3" max="3" width="13.375" style="13" customWidth="1"/>
    <col min="4" max="4" width="12.5" customWidth="1"/>
    <col min="8" max="8" width="12.125" customWidth="1"/>
    <col min="9" max="9" width="10.75" customWidth="1"/>
    <col min="11" max="11" width="11.875" customWidth="1"/>
    <col min="12" max="12" width="12.875" hidden="1" customWidth="1"/>
    <col min="13" max="14" width="0" hidden="1" customWidth="1"/>
    <col min="15" max="15" width="12.5" customWidth="1"/>
    <col min="19" max="19" width="13.125" customWidth="1"/>
    <col min="23" max="23" width="13.125" customWidth="1"/>
    <col min="27" max="27" width="11.625" customWidth="1"/>
  </cols>
  <sheetData>
    <row r="1" spans="1:30" ht="17.45">
      <c r="A1" s="271" t="s">
        <v>0</v>
      </c>
      <c r="B1" s="271"/>
      <c r="C1" s="277"/>
    </row>
    <row r="2" spans="1:30">
      <c r="A2" s="272" t="s">
        <v>1</v>
      </c>
      <c r="B2" s="272"/>
      <c r="C2" s="277"/>
    </row>
    <row r="3" spans="1:30">
      <c r="A3" s="272" t="s">
        <v>2</v>
      </c>
      <c r="B3" s="272"/>
      <c r="C3" s="277"/>
      <c r="I3" s="211"/>
    </row>
    <row r="4" spans="1:30" ht="15.75">
      <c r="A4" s="215"/>
      <c r="B4" s="215"/>
      <c r="C4"/>
      <c r="I4" s="211"/>
    </row>
    <row r="5" spans="1:30" ht="12" customHeight="1" thickBot="1">
      <c r="A5" s="273">
        <v>46001</v>
      </c>
      <c r="B5" s="274"/>
      <c r="C5" s="278"/>
      <c r="F5" s="225"/>
      <c r="T5" s="226"/>
    </row>
    <row r="6" spans="1:30" ht="16.149999999999999" thickBot="1">
      <c r="A6" s="215"/>
      <c r="B6" s="9"/>
      <c r="D6" s="229" t="s">
        <v>3</v>
      </c>
      <c r="E6" s="275"/>
      <c r="F6" s="276"/>
      <c r="G6" s="276"/>
      <c r="H6" s="232" t="s">
        <v>4</v>
      </c>
      <c r="I6" s="269"/>
      <c r="J6" s="270"/>
      <c r="K6" s="233"/>
      <c r="L6" s="126" t="s">
        <v>5</v>
      </c>
      <c r="M6" s="220"/>
      <c r="N6" s="221"/>
      <c r="O6" s="126" t="s">
        <v>6</v>
      </c>
      <c r="P6" s="260"/>
      <c r="Q6" s="261"/>
      <c r="R6" s="262"/>
      <c r="S6" s="218" t="s">
        <v>7</v>
      </c>
      <c r="T6" s="263"/>
      <c r="U6" s="264"/>
      <c r="V6" s="265"/>
      <c r="W6" s="241" t="s">
        <v>8</v>
      </c>
      <c r="X6" s="266"/>
      <c r="Y6" s="267"/>
      <c r="Z6" s="267"/>
      <c r="AA6" s="121" t="s">
        <v>9</v>
      </c>
      <c r="AB6" s="216"/>
      <c r="AC6" s="216"/>
      <c r="AD6" s="216"/>
    </row>
    <row r="7" spans="1:30" ht="18" customHeight="1" thickBot="1">
      <c r="B7" s="10" t="s">
        <v>10</v>
      </c>
      <c r="C7" s="14"/>
      <c r="D7" s="156" t="s">
        <v>11</v>
      </c>
      <c r="E7" s="18" t="s">
        <v>12</v>
      </c>
      <c r="F7" s="19" t="s">
        <v>13</v>
      </c>
      <c r="G7" s="20" t="s">
        <v>14</v>
      </c>
      <c r="H7" s="156" t="s">
        <v>11</v>
      </c>
      <c r="I7" s="5" t="s">
        <v>15</v>
      </c>
      <c r="J7" s="7" t="s">
        <v>16</v>
      </c>
      <c r="K7" s="236" t="s">
        <v>17</v>
      </c>
      <c r="L7" s="156" t="s">
        <v>11</v>
      </c>
      <c r="M7" s="222" t="s">
        <v>18</v>
      </c>
      <c r="N7" s="223" t="s">
        <v>19</v>
      </c>
      <c r="O7" s="237" t="s">
        <v>11</v>
      </c>
      <c r="P7" s="8" t="s">
        <v>20</v>
      </c>
      <c r="Q7" s="6" t="s">
        <v>21</v>
      </c>
      <c r="R7" s="7" t="s">
        <v>22</v>
      </c>
      <c r="S7" s="238" t="s">
        <v>11</v>
      </c>
      <c r="T7" s="8" t="s">
        <v>23</v>
      </c>
      <c r="U7" s="6" t="s">
        <v>24</v>
      </c>
      <c r="V7" s="7" t="s">
        <v>25</v>
      </c>
      <c r="W7" s="237" t="s">
        <v>11</v>
      </c>
      <c r="X7" s="8" t="s">
        <v>26</v>
      </c>
      <c r="Y7" s="6" t="s">
        <v>27</v>
      </c>
      <c r="Z7" s="17" t="s">
        <v>28</v>
      </c>
      <c r="AA7" s="156" t="s">
        <v>11</v>
      </c>
      <c r="AB7" s="7" t="s">
        <v>29</v>
      </c>
      <c r="AC7" s="7" t="s">
        <v>30</v>
      </c>
      <c r="AD7" s="212" t="s">
        <v>31</v>
      </c>
    </row>
    <row r="8" spans="1:30" ht="18" customHeight="1" thickTop="1" thickBot="1">
      <c r="A8" s="1" t="s">
        <v>32</v>
      </c>
      <c r="B8" s="11" t="s">
        <v>33</v>
      </c>
      <c r="C8" s="38" t="s">
        <v>34</v>
      </c>
      <c r="D8" s="227" t="s">
        <v>35</v>
      </c>
      <c r="E8" s="40"/>
      <c r="F8" s="41"/>
      <c r="G8" s="41"/>
      <c r="H8" s="230" t="s">
        <v>35</v>
      </c>
      <c r="I8" s="234"/>
      <c r="J8" s="234"/>
      <c r="K8" s="243"/>
      <c r="L8" s="157" t="s">
        <v>35</v>
      </c>
      <c r="M8" s="220"/>
      <c r="N8" s="220"/>
      <c r="O8" s="157" t="s">
        <v>35</v>
      </c>
      <c r="P8" s="279"/>
      <c r="Q8" s="279"/>
      <c r="R8" s="280"/>
      <c r="S8" s="217" t="s">
        <v>35</v>
      </c>
      <c r="T8" s="281"/>
      <c r="U8" s="281"/>
      <c r="V8" s="282"/>
      <c r="W8" s="239" t="s">
        <v>35</v>
      </c>
      <c r="X8" s="268"/>
      <c r="Y8" s="268"/>
      <c r="Z8" s="268"/>
      <c r="AA8" s="242" t="s">
        <v>35</v>
      </c>
      <c r="AB8" s="214"/>
      <c r="AC8" s="214"/>
      <c r="AD8" s="214"/>
    </row>
    <row r="9" spans="1:30" ht="18" customHeight="1" thickBot="1">
      <c r="A9" s="21" t="s">
        <v>36</v>
      </c>
      <c r="B9" s="12"/>
      <c r="C9" s="2"/>
      <c r="D9" s="228"/>
      <c r="E9" s="42"/>
      <c r="F9" s="43"/>
      <c r="G9" s="43"/>
      <c r="H9" s="231"/>
      <c r="I9" s="235"/>
      <c r="J9" s="235"/>
      <c r="K9" s="244"/>
      <c r="L9" s="178"/>
      <c r="M9" s="224"/>
      <c r="N9" s="224"/>
      <c r="O9" s="178"/>
      <c r="P9" s="283"/>
      <c r="Q9" s="283"/>
      <c r="R9" s="284"/>
      <c r="S9" s="219"/>
      <c r="T9" s="285"/>
      <c r="U9" s="285"/>
      <c r="V9" s="286"/>
      <c r="W9" s="240"/>
      <c r="X9" s="268"/>
      <c r="Y9" s="268"/>
      <c r="Z9" s="268"/>
      <c r="AA9" s="213"/>
      <c r="AB9" s="213"/>
      <c r="AC9" s="213"/>
      <c r="AD9" s="213"/>
    </row>
    <row r="10" spans="1:30" ht="18" customHeight="1">
      <c r="A10" s="24" t="s">
        <v>37</v>
      </c>
      <c r="B10" s="3">
        <v>130</v>
      </c>
      <c r="C10" s="15">
        <v>60</v>
      </c>
      <c r="D10" s="196">
        <v>300</v>
      </c>
      <c r="E10" s="61">
        <v>252</v>
      </c>
      <c r="F10" s="62">
        <v>245</v>
      </c>
      <c r="G10" s="62">
        <v>253</v>
      </c>
      <c r="H10" s="177">
        <v>200</v>
      </c>
      <c r="I10" s="31">
        <v>178</v>
      </c>
      <c r="J10" s="31">
        <v>101</v>
      </c>
      <c r="K10" s="57">
        <v>139</v>
      </c>
      <c r="L10" s="59">
        <v>100</v>
      </c>
      <c r="M10" s="58">
        <v>135</v>
      </c>
      <c r="N10" s="58">
        <v>85</v>
      </c>
      <c r="O10" s="115">
        <v>100</v>
      </c>
      <c r="P10" s="58">
        <v>79</v>
      </c>
      <c r="Q10" s="59">
        <v>79</v>
      </c>
      <c r="R10" s="59">
        <v>76</v>
      </c>
      <c r="S10" s="186">
        <v>80</v>
      </c>
      <c r="T10" s="59">
        <v>86</v>
      </c>
      <c r="U10" s="59">
        <v>25</v>
      </c>
      <c r="V10" s="59">
        <v>34</v>
      </c>
      <c r="W10" s="123">
        <v>30</v>
      </c>
      <c r="X10" s="59">
        <v>22</v>
      </c>
      <c r="Y10" s="59">
        <v>26</v>
      </c>
      <c r="Z10" s="36">
        <v>24</v>
      </c>
      <c r="AA10" s="64">
        <v>0</v>
      </c>
      <c r="AB10" s="36">
        <v>2</v>
      </c>
      <c r="AC10" s="36">
        <v>0</v>
      </c>
      <c r="AD10" s="60">
        <v>0</v>
      </c>
    </row>
    <row r="11" spans="1:30" ht="18" customHeight="1">
      <c r="A11" s="24" t="s">
        <v>38</v>
      </c>
      <c r="B11" s="3">
        <v>27</v>
      </c>
      <c r="C11" s="15">
        <v>20</v>
      </c>
      <c r="D11" s="196">
        <v>35</v>
      </c>
      <c r="E11" s="68">
        <v>20</v>
      </c>
      <c r="F11" s="69">
        <v>23</v>
      </c>
      <c r="G11" s="69">
        <v>58</v>
      </c>
      <c r="H11" s="172">
        <v>30</v>
      </c>
      <c r="I11" s="31">
        <v>27</v>
      </c>
      <c r="J11" s="31">
        <v>16</v>
      </c>
      <c r="K11" s="64">
        <v>19</v>
      </c>
      <c r="L11" s="65">
        <v>20</v>
      </c>
      <c r="M11" s="58">
        <v>46</v>
      </c>
      <c r="N11" s="58">
        <v>46</v>
      </c>
      <c r="O11" s="114">
        <v>20</v>
      </c>
      <c r="P11" s="58">
        <v>13</v>
      </c>
      <c r="Q11" s="59">
        <v>10</v>
      </c>
      <c r="R11" s="59">
        <v>14</v>
      </c>
      <c r="S11" s="187">
        <v>20</v>
      </c>
      <c r="T11" s="31">
        <v>11</v>
      </c>
      <c r="U11" s="59">
        <v>5</v>
      </c>
      <c r="V11" s="59">
        <v>8</v>
      </c>
      <c r="W11" s="124">
        <v>5</v>
      </c>
      <c r="X11" s="31">
        <v>1</v>
      </c>
      <c r="Y11" s="59">
        <v>6</v>
      </c>
      <c r="Z11" s="65">
        <v>3</v>
      </c>
      <c r="AA11" s="64">
        <v>0</v>
      </c>
      <c r="AB11" s="67">
        <v>0</v>
      </c>
      <c r="AC11" s="67">
        <v>0</v>
      </c>
      <c r="AD11" s="66">
        <v>0</v>
      </c>
    </row>
    <row r="12" spans="1:30" ht="18" customHeight="1">
      <c r="A12" s="24" t="s">
        <v>39</v>
      </c>
      <c r="B12" s="3">
        <v>107</v>
      </c>
      <c r="C12" s="15">
        <v>60</v>
      </c>
      <c r="D12" s="196">
        <v>175</v>
      </c>
      <c r="E12" s="68">
        <v>79</v>
      </c>
      <c r="F12" s="69">
        <v>71</v>
      </c>
      <c r="G12" s="62">
        <v>88</v>
      </c>
      <c r="H12" s="168">
        <v>125</v>
      </c>
      <c r="I12" s="31">
        <v>55</v>
      </c>
      <c r="J12" s="31">
        <v>40</v>
      </c>
      <c r="K12" s="58">
        <v>54</v>
      </c>
      <c r="L12" s="59">
        <v>75</v>
      </c>
      <c r="M12" s="58">
        <v>57</v>
      </c>
      <c r="N12" s="58">
        <v>66</v>
      </c>
      <c r="O12" s="190">
        <v>75</v>
      </c>
      <c r="P12" s="58">
        <v>49</v>
      </c>
      <c r="Q12" s="59">
        <v>42</v>
      </c>
      <c r="R12" s="59">
        <v>38</v>
      </c>
      <c r="S12" s="145">
        <v>40</v>
      </c>
      <c r="T12" s="57">
        <v>29</v>
      </c>
      <c r="U12" s="59">
        <v>7</v>
      </c>
      <c r="V12" s="59">
        <v>20</v>
      </c>
      <c r="W12" s="62">
        <v>10</v>
      </c>
      <c r="X12" s="59">
        <v>11</v>
      </c>
      <c r="Y12" s="59">
        <v>10</v>
      </c>
      <c r="Z12" s="66">
        <v>11</v>
      </c>
      <c r="AA12" s="71">
        <v>5</v>
      </c>
      <c r="AB12" s="36">
        <v>0</v>
      </c>
      <c r="AC12" s="36">
        <v>0</v>
      </c>
      <c r="AD12" s="66">
        <v>0</v>
      </c>
    </row>
    <row r="13" spans="1:30" ht="18" customHeight="1">
      <c r="A13" s="25" t="s">
        <v>40</v>
      </c>
      <c r="B13" s="3">
        <v>34</v>
      </c>
      <c r="C13" s="15">
        <v>10</v>
      </c>
      <c r="D13" s="196">
        <v>45</v>
      </c>
      <c r="E13" s="68">
        <v>39</v>
      </c>
      <c r="F13" s="69">
        <v>32</v>
      </c>
      <c r="G13" s="62">
        <v>51</v>
      </c>
      <c r="H13" s="177">
        <v>35</v>
      </c>
      <c r="I13" s="31">
        <v>25</v>
      </c>
      <c r="J13" s="31">
        <v>39</v>
      </c>
      <c r="K13" s="71">
        <v>15</v>
      </c>
      <c r="L13" s="59">
        <v>15</v>
      </c>
      <c r="M13" s="58">
        <v>13</v>
      </c>
      <c r="N13" s="58">
        <v>9</v>
      </c>
      <c r="O13" s="66">
        <v>15</v>
      </c>
      <c r="P13" s="58">
        <v>14</v>
      </c>
      <c r="Q13" s="59">
        <v>15</v>
      </c>
      <c r="R13" s="59">
        <v>22</v>
      </c>
      <c r="S13" s="188">
        <v>10</v>
      </c>
      <c r="T13" s="59">
        <v>21</v>
      </c>
      <c r="U13" s="59">
        <v>5</v>
      </c>
      <c r="V13" s="59">
        <v>14</v>
      </c>
      <c r="W13" s="62">
        <v>5</v>
      </c>
      <c r="X13" s="59">
        <v>12</v>
      </c>
      <c r="Y13" s="33">
        <v>5</v>
      </c>
      <c r="Z13" s="66">
        <v>7</v>
      </c>
      <c r="AA13" s="71">
        <v>0</v>
      </c>
      <c r="AB13" s="36">
        <v>0</v>
      </c>
      <c r="AC13" s="36">
        <v>0</v>
      </c>
      <c r="AD13" s="66">
        <v>0</v>
      </c>
    </row>
    <row r="14" spans="1:30" ht="18" customHeight="1" thickBot="1">
      <c r="A14" s="26" t="s">
        <v>41</v>
      </c>
      <c r="B14" s="3">
        <v>31</v>
      </c>
      <c r="C14" s="15">
        <v>10</v>
      </c>
      <c r="D14" s="196">
        <v>25</v>
      </c>
      <c r="E14" s="61">
        <v>13</v>
      </c>
      <c r="F14" s="62">
        <v>27</v>
      </c>
      <c r="G14" s="62">
        <v>17</v>
      </c>
      <c r="H14" s="177">
        <v>25</v>
      </c>
      <c r="I14" s="31">
        <v>11</v>
      </c>
      <c r="J14" s="67">
        <v>13</v>
      </c>
      <c r="K14" s="71">
        <v>8</v>
      </c>
      <c r="L14" s="79">
        <v>20</v>
      </c>
      <c r="M14" s="58">
        <v>14</v>
      </c>
      <c r="N14" s="58">
        <v>16</v>
      </c>
      <c r="O14" s="60">
        <v>20</v>
      </c>
      <c r="P14" s="58">
        <v>14</v>
      </c>
      <c r="Q14" s="59">
        <v>17</v>
      </c>
      <c r="R14" s="59">
        <v>6</v>
      </c>
      <c r="S14" s="145">
        <v>20</v>
      </c>
      <c r="T14" s="59">
        <v>3</v>
      </c>
      <c r="U14" s="59">
        <v>0</v>
      </c>
      <c r="V14" s="59">
        <v>1</v>
      </c>
      <c r="W14" s="181">
        <v>10</v>
      </c>
      <c r="X14" s="59">
        <v>11</v>
      </c>
      <c r="Y14" s="33">
        <v>8</v>
      </c>
      <c r="Z14" s="66">
        <v>11</v>
      </c>
      <c r="AA14" s="31">
        <v>0</v>
      </c>
      <c r="AB14" s="36">
        <v>0</v>
      </c>
      <c r="AC14" s="36">
        <v>0</v>
      </c>
      <c r="AD14" s="60">
        <v>0</v>
      </c>
    </row>
    <row r="15" spans="1:30" s="4" customFormat="1" ht="18" customHeight="1" thickBot="1">
      <c r="A15" s="27" t="s">
        <v>42</v>
      </c>
      <c r="B15" s="29">
        <v>65</v>
      </c>
      <c r="C15" s="37">
        <v>60</v>
      </c>
      <c r="D15" s="197">
        <v>70</v>
      </c>
      <c r="E15" s="76">
        <f>SUM(E13:E14)</f>
        <v>52</v>
      </c>
      <c r="F15" s="77">
        <f>SUM(F13:F14)</f>
        <v>59</v>
      </c>
      <c r="G15" s="77">
        <f>SUM(G13:G14)</f>
        <v>68</v>
      </c>
      <c r="H15" s="206">
        <v>60</v>
      </c>
      <c r="I15" s="101">
        <f>SUM(I13:I14)</f>
        <v>36</v>
      </c>
      <c r="J15" s="96">
        <f>SUM(J13+J14)</f>
        <v>52</v>
      </c>
      <c r="K15" s="137">
        <f>SUM(K13:K14)</f>
        <v>23</v>
      </c>
      <c r="L15" s="101">
        <v>35</v>
      </c>
      <c r="M15" s="245">
        <f>SUM(M13:M14)</f>
        <v>27</v>
      </c>
      <c r="N15" s="245">
        <f>SUM(N13:N14)</f>
        <v>25</v>
      </c>
      <c r="O15" s="120">
        <v>35</v>
      </c>
      <c r="P15" s="246">
        <f>SUM(P13:P14)</f>
        <v>28</v>
      </c>
      <c r="Q15" s="246">
        <f>SUM(Q13:Q14)</f>
        <v>32</v>
      </c>
      <c r="R15" s="246">
        <f>SUM(R13:R14)</f>
        <v>28</v>
      </c>
      <c r="S15" s="146">
        <v>30</v>
      </c>
      <c r="T15" s="246">
        <f>SUM(T13+T14)</f>
        <v>24</v>
      </c>
      <c r="U15" s="73">
        <f>U13+U14</f>
        <v>5</v>
      </c>
      <c r="V15" s="247">
        <f>SUM(V13:V14)</f>
        <v>15</v>
      </c>
      <c r="W15" s="125">
        <v>15</v>
      </c>
      <c r="X15" s="31">
        <f>SUM(X13:X14)</f>
        <v>23</v>
      </c>
      <c r="Y15" s="73">
        <v>13</v>
      </c>
      <c r="Z15" s="74">
        <f>SUM(Z13:Z14)</f>
        <v>18</v>
      </c>
      <c r="AA15" s="101">
        <v>0</v>
      </c>
      <c r="AB15" s="74">
        <f>SUM(AB13:AB14)</f>
        <v>0</v>
      </c>
      <c r="AC15" s="74">
        <f>SUM(AC13:AC14)</f>
        <v>0</v>
      </c>
      <c r="AD15" s="75">
        <f>SUM(AD13:AD14)</f>
        <v>0</v>
      </c>
    </row>
    <row r="16" spans="1:30" ht="18" customHeight="1">
      <c r="A16" s="24" t="s">
        <v>43</v>
      </c>
      <c r="B16" s="3">
        <v>62</v>
      </c>
      <c r="C16" s="15">
        <v>20</v>
      </c>
      <c r="D16" s="179">
        <v>100</v>
      </c>
      <c r="E16" s="68">
        <v>60</v>
      </c>
      <c r="F16" s="69">
        <v>66</v>
      </c>
      <c r="G16" s="69">
        <v>68</v>
      </c>
      <c r="H16" s="177">
        <v>80</v>
      </c>
      <c r="I16" s="31">
        <v>43</v>
      </c>
      <c r="J16" s="79">
        <v>40</v>
      </c>
      <c r="K16" s="57">
        <v>53</v>
      </c>
      <c r="L16" s="59">
        <v>50</v>
      </c>
      <c r="M16" s="58">
        <v>69</v>
      </c>
      <c r="N16" s="58">
        <v>63</v>
      </c>
      <c r="O16" s="143">
        <v>50</v>
      </c>
      <c r="P16" s="71">
        <v>45</v>
      </c>
      <c r="Q16" s="59">
        <v>29</v>
      </c>
      <c r="R16" s="59">
        <v>36</v>
      </c>
      <c r="S16" s="187">
        <v>40</v>
      </c>
      <c r="T16" s="59">
        <v>37</v>
      </c>
      <c r="U16" s="59">
        <v>26</v>
      </c>
      <c r="V16" s="59">
        <v>20</v>
      </c>
      <c r="W16" s="124">
        <v>15</v>
      </c>
      <c r="X16" s="59">
        <v>14</v>
      </c>
      <c r="Y16" s="59">
        <v>23</v>
      </c>
      <c r="Z16" s="67">
        <v>16</v>
      </c>
      <c r="AA16" s="116">
        <v>3</v>
      </c>
      <c r="AB16" s="67">
        <v>0</v>
      </c>
      <c r="AC16" s="67">
        <v>0</v>
      </c>
      <c r="AD16" s="66">
        <v>0</v>
      </c>
    </row>
    <row r="17" spans="1:30" ht="18" customHeight="1">
      <c r="A17" s="24" t="s">
        <v>44</v>
      </c>
      <c r="B17" s="3">
        <v>22</v>
      </c>
      <c r="C17" s="15">
        <v>10</v>
      </c>
      <c r="D17" s="179">
        <v>20</v>
      </c>
      <c r="E17" s="68">
        <v>12</v>
      </c>
      <c r="F17" s="69">
        <v>30</v>
      </c>
      <c r="G17" s="69">
        <v>16</v>
      </c>
      <c r="H17" s="177">
        <v>15</v>
      </c>
      <c r="I17" s="31">
        <v>12</v>
      </c>
      <c r="J17" s="204">
        <v>13</v>
      </c>
      <c r="K17" s="57">
        <v>27</v>
      </c>
      <c r="L17" s="114">
        <v>10</v>
      </c>
      <c r="M17" s="58">
        <v>17</v>
      </c>
      <c r="N17" s="58">
        <v>13</v>
      </c>
      <c r="O17" s="144">
        <v>10</v>
      </c>
      <c r="P17" s="71">
        <v>17</v>
      </c>
      <c r="Q17" s="59">
        <v>12</v>
      </c>
      <c r="R17" s="59">
        <v>18</v>
      </c>
      <c r="S17" s="187">
        <v>10</v>
      </c>
      <c r="T17" s="79">
        <v>10</v>
      </c>
      <c r="U17" s="79">
        <v>3</v>
      </c>
      <c r="V17" s="59">
        <v>5</v>
      </c>
      <c r="W17" s="124">
        <v>2</v>
      </c>
      <c r="X17" s="57">
        <v>6</v>
      </c>
      <c r="Y17" s="67">
        <v>1</v>
      </c>
      <c r="Z17" s="67">
        <v>4</v>
      </c>
      <c r="AA17" s="133">
        <v>0</v>
      </c>
      <c r="AB17" s="67">
        <v>0</v>
      </c>
      <c r="AC17" s="67">
        <v>0</v>
      </c>
      <c r="AD17" s="66">
        <v>0</v>
      </c>
    </row>
    <row r="18" spans="1:30" ht="18" customHeight="1">
      <c r="A18" s="24" t="s">
        <v>45</v>
      </c>
      <c r="B18" s="3">
        <v>14</v>
      </c>
      <c r="C18" s="15">
        <v>10</v>
      </c>
      <c r="D18" s="170">
        <v>15</v>
      </c>
      <c r="E18" s="68">
        <v>13</v>
      </c>
      <c r="F18" s="69">
        <v>45</v>
      </c>
      <c r="G18" s="69">
        <v>11</v>
      </c>
      <c r="H18" s="176">
        <v>15</v>
      </c>
      <c r="I18" s="31">
        <v>10</v>
      </c>
      <c r="J18" s="57">
        <v>14</v>
      </c>
      <c r="K18" s="57">
        <v>27</v>
      </c>
      <c r="L18" s="67">
        <v>15</v>
      </c>
      <c r="M18" s="58">
        <v>20</v>
      </c>
      <c r="N18" s="79">
        <v>19</v>
      </c>
      <c r="O18" s="66">
        <v>15</v>
      </c>
      <c r="P18" s="104">
        <v>30</v>
      </c>
      <c r="Q18" s="31">
        <v>20</v>
      </c>
      <c r="R18" s="33">
        <v>13</v>
      </c>
      <c r="S18" s="187">
        <v>15</v>
      </c>
      <c r="T18" s="31">
        <v>8</v>
      </c>
      <c r="U18" s="79">
        <v>2</v>
      </c>
      <c r="V18" s="79">
        <v>1</v>
      </c>
      <c r="W18" s="182">
        <v>10</v>
      </c>
      <c r="X18" s="31">
        <v>10</v>
      </c>
      <c r="Y18" s="59">
        <v>7</v>
      </c>
      <c r="Z18" s="66">
        <v>6</v>
      </c>
      <c r="AA18" s="57">
        <v>0</v>
      </c>
      <c r="AB18" s="67">
        <v>0</v>
      </c>
      <c r="AC18" s="67">
        <v>0</v>
      </c>
      <c r="AD18" s="66">
        <v>0</v>
      </c>
    </row>
    <row r="19" spans="1:30" ht="18" customHeight="1" thickBot="1">
      <c r="A19" s="24" t="s">
        <v>46</v>
      </c>
      <c r="B19" s="3">
        <v>19</v>
      </c>
      <c r="C19" s="15">
        <v>10</v>
      </c>
      <c r="D19" s="179">
        <v>30</v>
      </c>
      <c r="E19" s="68">
        <v>15</v>
      </c>
      <c r="F19" s="69">
        <v>64</v>
      </c>
      <c r="G19" s="69">
        <v>38</v>
      </c>
      <c r="H19" s="170">
        <v>20</v>
      </c>
      <c r="I19" s="31">
        <v>10</v>
      </c>
      <c r="J19" s="204">
        <v>14</v>
      </c>
      <c r="K19" s="57">
        <v>51</v>
      </c>
      <c r="L19" s="59">
        <v>10</v>
      </c>
      <c r="M19" s="58">
        <v>13</v>
      </c>
      <c r="N19" s="58">
        <v>21</v>
      </c>
      <c r="O19" s="65">
        <v>10</v>
      </c>
      <c r="P19" s="71">
        <v>62</v>
      </c>
      <c r="Q19" s="79">
        <v>14</v>
      </c>
      <c r="R19" s="31">
        <v>9</v>
      </c>
      <c r="S19" s="187">
        <v>10</v>
      </c>
      <c r="T19" s="31">
        <v>18</v>
      </c>
      <c r="U19" s="79">
        <v>15</v>
      </c>
      <c r="V19" s="79">
        <v>12</v>
      </c>
      <c r="W19" s="124">
        <v>5</v>
      </c>
      <c r="X19" s="59">
        <v>9</v>
      </c>
      <c r="Y19" s="31">
        <v>9</v>
      </c>
      <c r="Z19" s="67">
        <v>5</v>
      </c>
      <c r="AA19" s="133">
        <v>0</v>
      </c>
      <c r="AB19" s="65">
        <v>0</v>
      </c>
      <c r="AC19" s="65">
        <v>3</v>
      </c>
      <c r="AD19" s="59">
        <v>0</v>
      </c>
    </row>
    <row r="20" spans="1:30" s="4" customFormat="1" ht="18" customHeight="1" thickBot="1">
      <c r="A20" s="27" t="s">
        <v>47</v>
      </c>
      <c r="B20" s="29">
        <f>SUM(B10+B11+B12+B13+B14+B16+B17+B18+B19)</f>
        <v>446</v>
      </c>
      <c r="C20" s="37">
        <v>300</v>
      </c>
      <c r="D20" s="198">
        <v>745</v>
      </c>
      <c r="E20" s="76">
        <f>SUM(E16:E19,E14,E13,E12,E11,E10)</f>
        <v>503</v>
      </c>
      <c r="F20" s="77">
        <f>SUM(F16:F19,F14,F13,F12,F11,F10)</f>
        <v>603</v>
      </c>
      <c r="G20" s="77">
        <f>SUM(G16:G19,G14,G13,G12,G11,G10)</f>
        <v>600</v>
      </c>
      <c r="H20" s="175">
        <v>545</v>
      </c>
      <c r="I20" s="101">
        <f>SUM(I16:I19,I14,I13,I12,I11,I10)</f>
        <v>371</v>
      </c>
      <c r="J20" s="73">
        <f>SUM(J10:J14,J16,J17,J18,J19)</f>
        <v>290</v>
      </c>
      <c r="K20" s="248">
        <f>SUM(K16:K19,K12,K11,K10,K13,K14)</f>
        <v>393</v>
      </c>
      <c r="L20" s="80">
        <v>315</v>
      </c>
      <c r="M20" s="248">
        <f>SUM(M16:M19,M14,M13,M12,M11,M10)</f>
        <v>384</v>
      </c>
      <c r="N20" s="248">
        <f>SUM(N16:N19,N14,N13,N12,N11,N10)</f>
        <v>338</v>
      </c>
      <c r="O20" s="191">
        <v>315</v>
      </c>
      <c r="P20" s="118">
        <f>SUM(P16:P19,P14,P13,P12,P11,P10)</f>
        <v>323</v>
      </c>
      <c r="Q20" s="81">
        <f>SUM(Q16:Q19,Q14,Q13,Q12,Q11,Q10)</f>
        <v>238</v>
      </c>
      <c r="R20" s="82">
        <f>SUM(R16:R19,R14,R13,R12,R11,R10)</f>
        <v>232</v>
      </c>
      <c r="S20" s="147">
        <v>245</v>
      </c>
      <c r="T20" s="81">
        <f>SUM(T10,T11,T12,T13,T14,T16,T17,T18,T19)</f>
        <v>223</v>
      </c>
      <c r="U20" s="81">
        <f t="shared" ref="U20:V20" si="0">SUM(U10,U11,U12,U13,U14,U16,U17,U18,U19)</f>
        <v>88</v>
      </c>
      <c r="V20" s="81">
        <f t="shared" si="0"/>
        <v>115</v>
      </c>
      <c r="W20" s="125">
        <v>92</v>
      </c>
      <c r="X20" s="73">
        <f>SUM(X16:X19,X14,X13,X12,X11,X10)</f>
        <v>96</v>
      </c>
      <c r="Y20" s="35">
        <f>SUM(Y16:Y19,Y14,Y13,Y12,Y11,Y10)</f>
        <v>95</v>
      </c>
      <c r="Z20" s="74">
        <f>SUM(Z16:Z19,Z14,Z13,Z12,Z11,Z10)</f>
        <v>87</v>
      </c>
      <c r="AA20" s="134">
        <v>8</v>
      </c>
      <c r="AB20" s="74">
        <f>SUM(AB16:AB19,AB14,AB13,AB12,AB11,AB10)</f>
        <v>2</v>
      </c>
      <c r="AC20" s="74">
        <f>SUM(AC16:AC19,AC14,AC13,AC12,AC11,AC10)</f>
        <v>3</v>
      </c>
      <c r="AD20" s="75">
        <f>SUM(AD16:AD19,AD14,AD13,AD12,AD11,AD10)</f>
        <v>0</v>
      </c>
    </row>
    <row r="21" spans="1:30" ht="18" customHeight="1" thickTop="1">
      <c r="A21" s="28" t="s">
        <v>48</v>
      </c>
      <c r="B21" s="31"/>
      <c r="C21" s="31"/>
      <c r="D21" s="174"/>
      <c r="E21" s="149"/>
      <c r="F21" s="62"/>
      <c r="G21" s="62"/>
      <c r="H21" s="171"/>
      <c r="I21" s="64"/>
      <c r="J21" s="96"/>
      <c r="K21" s="104"/>
      <c r="L21" s="115"/>
      <c r="M21" s="33"/>
      <c r="N21" s="36"/>
      <c r="O21" s="115"/>
      <c r="P21" s="155"/>
      <c r="Q21" s="115"/>
      <c r="R21" s="155"/>
      <c r="S21" s="150"/>
      <c r="T21" s="155"/>
      <c r="U21" s="104"/>
      <c r="V21" s="83"/>
      <c r="W21" s="140"/>
      <c r="X21" s="32"/>
      <c r="Y21" s="33"/>
      <c r="Z21" s="36"/>
      <c r="AA21" s="135"/>
      <c r="AB21" s="36"/>
      <c r="AC21" s="36"/>
      <c r="AD21" s="60"/>
    </row>
    <row r="22" spans="1:30" ht="17.45" customHeight="1">
      <c r="A22" s="24" t="s">
        <v>49</v>
      </c>
      <c r="B22" s="3">
        <v>64</v>
      </c>
      <c r="C22" s="15">
        <v>30</v>
      </c>
      <c r="D22" s="179">
        <v>50</v>
      </c>
      <c r="E22" s="68">
        <v>42</v>
      </c>
      <c r="F22" s="69">
        <v>59</v>
      </c>
      <c r="G22" s="69">
        <v>59</v>
      </c>
      <c r="H22" s="194">
        <v>40</v>
      </c>
      <c r="I22" s="31">
        <v>39</v>
      </c>
      <c r="J22" s="79">
        <v>50</v>
      </c>
      <c r="K22" s="57">
        <v>30</v>
      </c>
      <c r="L22" s="67">
        <v>20</v>
      </c>
      <c r="M22" s="79">
        <v>14</v>
      </c>
      <c r="N22" s="67">
        <v>18</v>
      </c>
      <c r="O22" s="141">
        <v>20</v>
      </c>
      <c r="P22" s="31">
        <v>41</v>
      </c>
      <c r="Q22" s="31">
        <v>49</v>
      </c>
      <c r="R22" s="84">
        <v>44</v>
      </c>
      <c r="S22" s="67">
        <v>20</v>
      </c>
      <c r="T22" s="31">
        <v>24</v>
      </c>
      <c r="U22" s="31">
        <v>18</v>
      </c>
      <c r="V22" s="79">
        <v>9</v>
      </c>
      <c r="W22" s="124">
        <v>5</v>
      </c>
      <c r="X22" s="31">
        <v>10</v>
      </c>
      <c r="Y22" s="31">
        <v>6</v>
      </c>
      <c r="Z22" s="67">
        <v>5</v>
      </c>
      <c r="AA22" s="116">
        <v>0</v>
      </c>
      <c r="AB22" s="67">
        <v>0</v>
      </c>
      <c r="AC22" s="67">
        <v>0</v>
      </c>
      <c r="AD22" s="66">
        <v>0</v>
      </c>
    </row>
    <row r="23" spans="1:30" ht="18" customHeight="1">
      <c r="A23" s="24" t="s">
        <v>50</v>
      </c>
      <c r="B23" s="3">
        <v>69</v>
      </c>
      <c r="C23" s="15">
        <v>30</v>
      </c>
      <c r="D23" s="179">
        <v>60</v>
      </c>
      <c r="E23" s="68">
        <v>29</v>
      </c>
      <c r="F23" s="69">
        <v>37</v>
      </c>
      <c r="G23" s="69">
        <v>30</v>
      </c>
      <c r="H23" s="170">
        <v>50</v>
      </c>
      <c r="I23" s="31">
        <v>24</v>
      </c>
      <c r="J23" s="79">
        <v>26</v>
      </c>
      <c r="K23" s="64">
        <v>25</v>
      </c>
      <c r="L23" s="67">
        <v>40</v>
      </c>
      <c r="M23" s="57">
        <v>31</v>
      </c>
      <c r="N23" s="85">
        <v>25</v>
      </c>
      <c r="O23" s="141">
        <v>40</v>
      </c>
      <c r="P23" s="31">
        <v>33</v>
      </c>
      <c r="Q23" s="31">
        <v>34</v>
      </c>
      <c r="R23" s="31">
        <v>18</v>
      </c>
      <c r="S23" s="189">
        <v>30</v>
      </c>
      <c r="T23" s="31">
        <v>31</v>
      </c>
      <c r="U23" s="31">
        <v>17</v>
      </c>
      <c r="V23" s="79">
        <v>5</v>
      </c>
      <c r="W23" s="124">
        <v>10</v>
      </c>
      <c r="X23" s="31">
        <v>6</v>
      </c>
      <c r="Y23" s="31">
        <v>8</v>
      </c>
      <c r="Z23" s="67">
        <v>5</v>
      </c>
      <c r="AA23" s="116">
        <v>0</v>
      </c>
      <c r="AB23" s="67">
        <v>0</v>
      </c>
      <c r="AC23" s="67">
        <v>0</v>
      </c>
      <c r="AD23" s="66">
        <v>0</v>
      </c>
    </row>
    <row r="24" spans="1:30" ht="28.5" customHeight="1">
      <c r="A24" s="24" t="s">
        <v>51</v>
      </c>
      <c r="B24" s="3">
        <v>145</v>
      </c>
      <c r="C24" s="15">
        <v>30</v>
      </c>
      <c r="D24" s="179">
        <v>125</v>
      </c>
      <c r="E24" s="68">
        <v>102</v>
      </c>
      <c r="F24" s="69">
        <v>142</v>
      </c>
      <c r="G24" s="69">
        <v>167</v>
      </c>
      <c r="H24" s="170">
        <v>100</v>
      </c>
      <c r="I24" s="31">
        <v>86</v>
      </c>
      <c r="J24" s="204">
        <v>85</v>
      </c>
      <c r="K24" s="64">
        <v>52</v>
      </c>
      <c r="L24" s="59">
        <v>60</v>
      </c>
      <c r="M24" s="57">
        <v>41</v>
      </c>
      <c r="N24" s="85">
        <v>52</v>
      </c>
      <c r="O24" s="141">
        <v>60</v>
      </c>
      <c r="P24" s="31">
        <v>104</v>
      </c>
      <c r="Q24" s="31">
        <v>126</v>
      </c>
      <c r="R24" s="31">
        <v>61</v>
      </c>
      <c r="S24" s="189">
        <v>50</v>
      </c>
      <c r="T24" s="31">
        <v>86</v>
      </c>
      <c r="U24" s="59">
        <v>39</v>
      </c>
      <c r="V24" s="79">
        <v>26</v>
      </c>
      <c r="W24" s="124">
        <v>10</v>
      </c>
      <c r="X24" s="59">
        <v>27</v>
      </c>
      <c r="Y24" s="31">
        <v>30</v>
      </c>
      <c r="Z24" s="67">
        <v>20</v>
      </c>
      <c r="AA24" s="133">
        <v>0</v>
      </c>
      <c r="AB24" s="67">
        <v>0</v>
      </c>
      <c r="AC24" s="67">
        <v>0</v>
      </c>
      <c r="AD24" s="66">
        <v>0</v>
      </c>
    </row>
    <row r="25" spans="1:30" ht="18" customHeight="1">
      <c r="A25" s="24" t="s">
        <v>52</v>
      </c>
      <c r="B25" s="3">
        <v>100</v>
      </c>
      <c r="C25" s="15">
        <v>30</v>
      </c>
      <c r="D25" s="179">
        <v>100</v>
      </c>
      <c r="E25" s="68">
        <v>118</v>
      </c>
      <c r="F25" s="69">
        <v>89</v>
      </c>
      <c r="G25" s="69">
        <v>128</v>
      </c>
      <c r="H25" s="172">
        <v>80</v>
      </c>
      <c r="I25" s="31">
        <v>71</v>
      </c>
      <c r="J25" s="79">
        <v>96</v>
      </c>
      <c r="K25" s="64">
        <v>62</v>
      </c>
      <c r="L25" s="59">
        <v>60</v>
      </c>
      <c r="M25" s="57">
        <v>49</v>
      </c>
      <c r="N25" s="85">
        <v>42</v>
      </c>
      <c r="O25" s="141">
        <v>60</v>
      </c>
      <c r="P25" s="31">
        <v>77</v>
      </c>
      <c r="Q25" s="31">
        <v>94</v>
      </c>
      <c r="R25" s="31">
        <v>94</v>
      </c>
      <c r="S25" s="189">
        <v>50</v>
      </c>
      <c r="T25" s="59">
        <v>35</v>
      </c>
      <c r="U25" s="31">
        <v>39</v>
      </c>
      <c r="V25" s="59">
        <v>23</v>
      </c>
      <c r="W25" s="124">
        <v>10</v>
      </c>
      <c r="X25" s="59">
        <v>21</v>
      </c>
      <c r="Y25" s="59">
        <v>6</v>
      </c>
      <c r="Z25" s="67">
        <v>12</v>
      </c>
      <c r="AA25" s="116">
        <v>0</v>
      </c>
      <c r="AB25" s="67">
        <v>0</v>
      </c>
      <c r="AC25" s="67">
        <v>0</v>
      </c>
      <c r="AD25" s="66">
        <v>0</v>
      </c>
    </row>
    <row r="26" spans="1:30" ht="18" customHeight="1" thickBot="1">
      <c r="A26" s="25" t="s">
        <v>53</v>
      </c>
      <c r="B26" s="3">
        <v>24</v>
      </c>
      <c r="C26" s="15">
        <v>10</v>
      </c>
      <c r="D26" s="170">
        <v>10</v>
      </c>
      <c r="E26" s="130">
        <v>10</v>
      </c>
      <c r="F26" s="89">
        <v>15</v>
      </c>
      <c r="G26" s="89">
        <v>4</v>
      </c>
      <c r="H26" s="165">
        <v>10</v>
      </c>
      <c r="I26" s="31">
        <v>11</v>
      </c>
      <c r="J26" s="204">
        <v>11</v>
      </c>
      <c r="K26" s="110">
        <v>11</v>
      </c>
      <c r="L26" s="59">
        <v>10</v>
      </c>
      <c r="M26" s="31">
        <v>1</v>
      </c>
      <c r="N26" s="67">
        <v>12</v>
      </c>
      <c r="O26" s="192">
        <v>10</v>
      </c>
      <c r="P26" s="31">
        <v>8</v>
      </c>
      <c r="Q26" s="31">
        <v>12</v>
      </c>
      <c r="R26" s="84">
        <v>5</v>
      </c>
      <c r="S26" s="179">
        <v>10</v>
      </c>
      <c r="T26" s="31">
        <v>6</v>
      </c>
      <c r="U26" s="31">
        <v>1</v>
      </c>
      <c r="V26" s="59">
        <v>4</v>
      </c>
      <c r="W26" s="69">
        <v>5</v>
      </c>
      <c r="X26" s="59">
        <v>2</v>
      </c>
      <c r="Y26" s="31">
        <v>1</v>
      </c>
      <c r="Z26" s="67">
        <v>2</v>
      </c>
      <c r="AA26" s="133">
        <v>0</v>
      </c>
      <c r="AB26" s="65">
        <v>0</v>
      </c>
      <c r="AC26" s="65">
        <v>0</v>
      </c>
      <c r="AD26" s="87">
        <v>0</v>
      </c>
    </row>
    <row r="27" spans="1:30" s="4" customFormat="1" ht="18" customHeight="1" thickBot="1">
      <c r="A27" s="27" t="s">
        <v>54</v>
      </c>
      <c r="B27" s="29">
        <f>SUM(B22:B26)</f>
        <v>402</v>
      </c>
      <c r="C27" s="37">
        <v>300</v>
      </c>
      <c r="D27" s="199">
        <v>345</v>
      </c>
      <c r="E27" s="131">
        <f>SUM(E22:E26)</f>
        <v>301</v>
      </c>
      <c r="F27" s="77">
        <f>SUM(F22:F26)</f>
        <v>342</v>
      </c>
      <c r="G27" s="77">
        <f>SUM(G22:G26)</f>
        <v>388</v>
      </c>
      <c r="H27" s="173">
        <v>280</v>
      </c>
      <c r="I27" s="103">
        <f>SUM(I22:I26)</f>
        <v>231</v>
      </c>
      <c r="J27" s="117">
        <f>SUM(J22:J26)</f>
        <v>268</v>
      </c>
      <c r="K27" s="136">
        <f>SUM(K22:K26)</f>
        <v>180</v>
      </c>
      <c r="L27" s="74">
        <v>190</v>
      </c>
      <c r="M27" s="90">
        <f>SUM(M22:M26)</f>
        <v>136</v>
      </c>
      <c r="N27" s="91">
        <f>SUM(N22:N26)</f>
        <v>149</v>
      </c>
      <c r="O27" s="153">
        <v>190</v>
      </c>
      <c r="P27" s="92">
        <f>SUM(P22:P26)</f>
        <v>263</v>
      </c>
      <c r="Q27" s="93">
        <f>SUM(Q22:Q26)</f>
        <v>315</v>
      </c>
      <c r="R27" s="94">
        <f>SUM(R22:R26)</f>
        <v>222</v>
      </c>
      <c r="S27" s="101">
        <v>160</v>
      </c>
      <c r="T27" s="90">
        <f>SUM(T22:T26)</f>
        <v>182</v>
      </c>
      <c r="U27" s="73">
        <f>SUM(U22:U26)</f>
        <v>114</v>
      </c>
      <c r="V27" s="94">
        <f>SUM(V22:V26)</f>
        <v>67</v>
      </c>
      <c r="W27" s="100">
        <v>40</v>
      </c>
      <c r="X27" s="73">
        <f>SUM(X22:X26)</f>
        <v>66</v>
      </c>
      <c r="Y27" s="73">
        <f>SUM(Y22:Y26)</f>
        <v>51</v>
      </c>
      <c r="Z27" s="74">
        <f>SUM(Z22:Z26)</f>
        <v>44</v>
      </c>
      <c r="AA27" s="138">
        <v>0</v>
      </c>
      <c r="AB27" s="74">
        <f>SUM(AB22:AB26)</f>
        <v>0</v>
      </c>
      <c r="AC27" s="74">
        <f>SUM(AC22:AC26)</f>
        <v>0</v>
      </c>
      <c r="AD27" s="75">
        <f>SUM(AD22:AD26)</f>
        <v>0</v>
      </c>
    </row>
    <row r="28" spans="1:30" s="22" customFormat="1" ht="18" customHeight="1" thickBot="1">
      <c r="A28" s="249" t="s">
        <v>55</v>
      </c>
      <c r="B28" s="29">
        <v>18</v>
      </c>
      <c r="C28" s="37">
        <v>10</v>
      </c>
      <c r="D28" s="161">
        <v>20</v>
      </c>
      <c r="E28" s="132">
        <v>11</v>
      </c>
      <c r="F28" s="69">
        <v>13</v>
      </c>
      <c r="G28" s="69">
        <v>13</v>
      </c>
      <c r="H28" s="172">
        <v>20</v>
      </c>
      <c r="I28" s="33">
        <v>21</v>
      </c>
      <c r="J28" s="36">
        <v>11</v>
      </c>
      <c r="K28" s="137">
        <v>15</v>
      </c>
      <c r="L28" s="154">
        <v>10</v>
      </c>
      <c r="M28" s="33">
        <v>15</v>
      </c>
      <c r="N28" s="32">
        <v>17</v>
      </c>
      <c r="O28" s="65">
        <v>10</v>
      </c>
      <c r="P28" s="31">
        <v>6</v>
      </c>
      <c r="Q28" s="31">
        <v>4</v>
      </c>
      <c r="R28" s="67">
        <v>8</v>
      </c>
      <c r="S28" s="183">
        <v>10</v>
      </c>
      <c r="T28" s="65">
        <v>10</v>
      </c>
      <c r="U28" s="59">
        <v>1</v>
      </c>
      <c r="V28" s="59">
        <v>0</v>
      </c>
      <c r="W28" s="69">
        <v>5</v>
      </c>
      <c r="X28" s="59">
        <v>1</v>
      </c>
      <c r="Y28" s="59">
        <v>0</v>
      </c>
      <c r="Z28" s="67">
        <v>3</v>
      </c>
      <c r="AA28" s="207">
        <v>0</v>
      </c>
      <c r="AB28" s="95">
        <v>1</v>
      </c>
      <c r="AC28" s="95">
        <v>0</v>
      </c>
      <c r="AD28" s="95">
        <v>0</v>
      </c>
    </row>
    <row r="29" spans="1:30" s="22" customFormat="1" ht="18" customHeight="1" thickBot="1">
      <c r="A29" s="250" t="s">
        <v>56</v>
      </c>
      <c r="B29" s="29">
        <v>11</v>
      </c>
      <c r="C29" s="37">
        <v>10</v>
      </c>
      <c r="D29" s="161">
        <v>15</v>
      </c>
      <c r="E29" s="69">
        <v>10</v>
      </c>
      <c r="F29" s="69">
        <v>9</v>
      </c>
      <c r="G29" s="69">
        <v>2</v>
      </c>
      <c r="H29" s="172">
        <v>15</v>
      </c>
      <c r="I29" s="31">
        <v>10</v>
      </c>
      <c r="J29" s="67">
        <v>10</v>
      </c>
      <c r="K29" s="79">
        <v>10</v>
      </c>
      <c r="L29" s="85">
        <v>15</v>
      </c>
      <c r="M29" s="31">
        <v>0</v>
      </c>
      <c r="N29" s="57">
        <v>7</v>
      </c>
      <c r="O29" s="65">
        <v>15</v>
      </c>
      <c r="P29" s="31">
        <v>11</v>
      </c>
      <c r="Q29" s="31">
        <v>0</v>
      </c>
      <c r="R29" s="67">
        <v>1</v>
      </c>
      <c r="S29" s="67">
        <v>15</v>
      </c>
      <c r="T29" s="65">
        <v>3</v>
      </c>
      <c r="U29" s="59">
        <v>0</v>
      </c>
      <c r="V29" s="59">
        <v>1</v>
      </c>
      <c r="W29" s="183">
        <v>10</v>
      </c>
      <c r="X29" s="96">
        <v>0</v>
      </c>
      <c r="Y29" s="59">
        <v>0</v>
      </c>
      <c r="Z29" s="67">
        <v>0</v>
      </c>
      <c r="AA29" s="36">
        <v>0</v>
      </c>
      <c r="AB29" s="67">
        <v>0</v>
      </c>
      <c r="AC29" s="67">
        <v>0</v>
      </c>
      <c r="AD29" s="65">
        <v>0</v>
      </c>
    </row>
    <row r="30" spans="1:30" s="22" customFormat="1" ht="18" customHeight="1" thickBot="1">
      <c r="A30" s="249" t="s">
        <v>57</v>
      </c>
      <c r="B30" s="29">
        <v>48</v>
      </c>
      <c r="C30" s="37">
        <v>20</v>
      </c>
      <c r="D30" s="161">
        <v>75</v>
      </c>
      <c r="E30" s="69">
        <v>76</v>
      </c>
      <c r="F30" s="69">
        <v>114</v>
      </c>
      <c r="G30" s="69">
        <v>87</v>
      </c>
      <c r="H30" s="170">
        <v>75</v>
      </c>
      <c r="I30" s="31">
        <v>33</v>
      </c>
      <c r="J30" s="67">
        <v>70</v>
      </c>
      <c r="K30" s="79">
        <v>78</v>
      </c>
      <c r="L30" s="119">
        <v>50</v>
      </c>
      <c r="M30" s="31">
        <v>66</v>
      </c>
      <c r="N30" s="57">
        <v>63</v>
      </c>
      <c r="O30" s="31">
        <v>50</v>
      </c>
      <c r="P30" s="31">
        <v>98</v>
      </c>
      <c r="Q30" s="31">
        <v>38</v>
      </c>
      <c r="R30" s="67">
        <v>80</v>
      </c>
      <c r="S30" s="67">
        <v>40</v>
      </c>
      <c r="T30" s="65">
        <v>62</v>
      </c>
      <c r="U30" s="59">
        <v>50</v>
      </c>
      <c r="V30" s="59">
        <v>43</v>
      </c>
      <c r="W30" s="183">
        <v>20</v>
      </c>
      <c r="X30" s="97">
        <v>24</v>
      </c>
      <c r="Y30" s="79">
        <v>17</v>
      </c>
      <c r="Z30" s="67">
        <v>48</v>
      </c>
      <c r="AA30" s="67">
        <v>0</v>
      </c>
      <c r="AB30" s="67">
        <v>3</v>
      </c>
      <c r="AC30" s="67">
        <v>0</v>
      </c>
      <c r="AD30" s="65">
        <v>0</v>
      </c>
    </row>
    <row r="31" spans="1:30" ht="18" customHeight="1" thickBot="1">
      <c r="A31" s="251" t="s">
        <v>58</v>
      </c>
      <c r="B31" s="31"/>
      <c r="C31" s="31"/>
      <c r="D31" s="171"/>
      <c r="E31" s="149"/>
      <c r="F31" s="62"/>
      <c r="G31" s="62"/>
      <c r="H31" s="165"/>
      <c r="I31" s="64"/>
      <c r="J31" s="35"/>
      <c r="K31" s="64"/>
      <c r="L31" s="31"/>
      <c r="M31" s="31"/>
      <c r="N31" s="79"/>
      <c r="O31" s="116"/>
      <c r="P31" s="64"/>
      <c r="Q31" s="33"/>
      <c r="R31" s="36"/>
      <c r="S31" s="116"/>
      <c r="T31" s="104"/>
      <c r="U31" s="33"/>
      <c r="V31" s="36"/>
      <c r="W31" s="139"/>
      <c r="X31" s="104"/>
      <c r="Y31" s="33"/>
      <c r="Z31" s="36"/>
      <c r="AA31" s="135"/>
      <c r="AB31" s="36"/>
      <c r="AC31" s="36"/>
      <c r="AD31" s="152"/>
    </row>
    <row r="32" spans="1:30" ht="18" customHeight="1">
      <c r="A32" s="24" t="s">
        <v>59</v>
      </c>
      <c r="B32" s="3">
        <v>11</v>
      </c>
      <c r="C32" s="15">
        <v>10</v>
      </c>
      <c r="D32" s="164">
        <v>10</v>
      </c>
      <c r="E32" s="68">
        <v>15</v>
      </c>
      <c r="F32" s="69">
        <v>15</v>
      </c>
      <c r="G32" s="69">
        <v>8</v>
      </c>
      <c r="H32" s="163">
        <v>10</v>
      </c>
      <c r="I32" s="31">
        <v>10</v>
      </c>
      <c r="J32" s="31">
        <v>12</v>
      </c>
      <c r="K32" s="31">
        <v>2</v>
      </c>
      <c r="L32" s="67">
        <v>10</v>
      </c>
      <c r="M32" s="31">
        <v>5</v>
      </c>
      <c r="N32" s="79">
        <v>5</v>
      </c>
      <c r="O32" s="67">
        <v>10</v>
      </c>
      <c r="P32" s="57">
        <v>7</v>
      </c>
      <c r="Q32" s="31">
        <v>6</v>
      </c>
      <c r="R32" s="79">
        <v>5</v>
      </c>
      <c r="S32" s="69">
        <v>10</v>
      </c>
      <c r="T32" s="31">
        <v>8</v>
      </c>
      <c r="U32" s="31">
        <v>0</v>
      </c>
      <c r="V32" s="79">
        <v>2</v>
      </c>
      <c r="W32" s="182">
        <v>10</v>
      </c>
      <c r="X32" s="31">
        <v>3</v>
      </c>
      <c r="Y32" s="31">
        <v>1</v>
      </c>
      <c r="Z32" s="67">
        <v>1</v>
      </c>
      <c r="AA32" s="179">
        <v>10</v>
      </c>
      <c r="AB32" s="142">
        <v>0</v>
      </c>
      <c r="AC32" s="142">
        <v>0</v>
      </c>
      <c r="AD32" s="67">
        <v>0</v>
      </c>
    </row>
    <row r="33" spans="1:30" ht="18" customHeight="1">
      <c r="A33" s="23" t="s">
        <v>60</v>
      </c>
      <c r="B33" s="3">
        <v>34</v>
      </c>
      <c r="C33" s="15">
        <v>20</v>
      </c>
      <c r="D33" s="164">
        <v>40</v>
      </c>
      <c r="E33" s="68">
        <v>20</v>
      </c>
      <c r="F33" s="69">
        <v>25</v>
      </c>
      <c r="G33" s="69">
        <v>28</v>
      </c>
      <c r="H33" s="179">
        <v>40</v>
      </c>
      <c r="I33" s="31">
        <v>28</v>
      </c>
      <c r="J33" s="31">
        <v>21</v>
      </c>
      <c r="K33" s="31">
        <v>10</v>
      </c>
      <c r="L33" s="116">
        <v>30</v>
      </c>
      <c r="M33" s="31">
        <v>13</v>
      </c>
      <c r="N33" s="31">
        <v>16</v>
      </c>
      <c r="O33" s="69">
        <v>30</v>
      </c>
      <c r="P33" s="57">
        <v>9</v>
      </c>
      <c r="Q33" s="31">
        <v>15</v>
      </c>
      <c r="R33" s="31">
        <v>13</v>
      </c>
      <c r="S33" s="67">
        <v>25</v>
      </c>
      <c r="T33" s="31">
        <v>5</v>
      </c>
      <c r="U33" s="31">
        <v>2</v>
      </c>
      <c r="V33" s="79">
        <v>0</v>
      </c>
      <c r="W33" s="182">
        <v>20</v>
      </c>
      <c r="X33" s="66">
        <v>17</v>
      </c>
      <c r="Y33" s="67">
        <v>16</v>
      </c>
      <c r="Z33" s="142">
        <v>16</v>
      </c>
      <c r="AA33" s="31">
        <v>10</v>
      </c>
      <c r="AB33" s="67">
        <v>0</v>
      </c>
      <c r="AC33" s="67">
        <v>0</v>
      </c>
      <c r="AD33" s="68">
        <v>0</v>
      </c>
    </row>
    <row r="34" spans="1:30" ht="18" customHeight="1" thickBot="1">
      <c r="A34" s="25" t="s">
        <v>61</v>
      </c>
      <c r="B34" s="3">
        <v>13</v>
      </c>
      <c r="C34" s="15">
        <v>10</v>
      </c>
      <c r="D34" s="164">
        <v>20</v>
      </c>
      <c r="E34" s="88">
        <v>33</v>
      </c>
      <c r="F34" s="89">
        <v>63</v>
      </c>
      <c r="G34" s="89">
        <v>76</v>
      </c>
      <c r="H34" s="165">
        <v>20</v>
      </c>
      <c r="I34" s="31">
        <v>20</v>
      </c>
      <c r="J34" s="31">
        <v>50</v>
      </c>
      <c r="K34" s="64">
        <v>37</v>
      </c>
      <c r="L34" s="116">
        <v>20</v>
      </c>
      <c r="M34" s="31">
        <v>23</v>
      </c>
      <c r="N34" s="79">
        <v>40</v>
      </c>
      <c r="O34" s="67">
        <v>20</v>
      </c>
      <c r="P34" s="57">
        <v>35</v>
      </c>
      <c r="Q34" s="31">
        <v>47</v>
      </c>
      <c r="R34" s="79">
        <v>31</v>
      </c>
      <c r="S34" s="65">
        <v>20</v>
      </c>
      <c r="T34" s="57">
        <v>24</v>
      </c>
      <c r="U34" s="31">
        <v>20</v>
      </c>
      <c r="V34" s="79">
        <v>13</v>
      </c>
      <c r="W34" s="182">
        <v>20</v>
      </c>
      <c r="X34" s="57">
        <v>23</v>
      </c>
      <c r="Y34" s="31">
        <v>31</v>
      </c>
      <c r="Z34" s="67">
        <v>50</v>
      </c>
      <c r="AA34" s="180">
        <v>10</v>
      </c>
      <c r="AB34" s="67">
        <v>4</v>
      </c>
      <c r="AC34" s="67">
        <v>4</v>
      </c>
      <c r="AD34" s="66">
        <v>0</v>
      </c>
    </row>
    <row r="35" spans="1:30" ht="18" customHeight="1" thickBot="1">
      <c r="A35" s="24" t="s">
        <v>62</v>
      </c>
      <c r="B35" s="3">
        <v>11</v>
      </c>
      <c r="C35" s="15">
        <v>10</v>
      </c>
      <c r="D35" s="164">
        <v>15</v>
      </c>
      <c r="E35" s="69">
        <v>33</v>
      </c>
      <c r="F35" s="70">
        <v>15</v>
      </c>
      <c r="G35" s="89">
        <v>26</v>
      </c>
      <c r="H35" s="163">
        <v>15</v>
      </c>
      <c r="I35" s="31">
        <v>11</v>
      </c>
      <c r="J35" s="31">
        <v>18</v>
      </c>
      <c r="K35" s="64">
        <v>18</v>
      </c>
      <c r="L35" s="67">
        <v>15</v>
      </c>
      <c r="M35" s="31">
        <v>14</v>
      </c>
      <c r="N35" s="79">
        <v>18</v>
      </c>
      <c r="O35" s="67">
        <v>15</v>
      </c>
      <c r="P35" s="57">
        <v>17</v>
      </c>
      <c r="Q35" s="31">
        <v>13</v>
      </c>
      <c r="R35" s="79">
        <v>13</v>
      </c>
      <c r="S35" s="67">
        <v>15</v>
      </c>
      <c r="T35" s="31">
        <v>11</v>
      </c>
      <c r="U35" s="31">
        <v>6</v>
      </c>
      <c r="V35" s="79">
        <v>4</v>
      </c>
      <c r="W35" s="182">
        <v>15</v>
      </c>
      <c r="X35" s="31">
        <v>7</v>
      </c>
      <c r="Y35" s="31">
        <v>10</v>
      </c>
      <c r="Z35" s="67">
        <v>4</v>
      </c>
      <c r="AA35" s="180">
        <v>10</v>
      </c>
      <c r="AB35" s="67">
        <v>1</v>
      </c>
      <c r="AC35" s="67">
        <v>4</v>
      </c>
      <c r="AD35" s="66">
        <v>0</v>
      </c>
    </row>
    <row r="36" spans="1:30" ht="18" customHeight="1">
      <c r="A36" s="24" t="s">
        <v>63</v>
      </c>
      <c r="B36" s="3">
        <v>55</v>
      </c>
      <c r="C36" s="15">
        <v>30</v>
      </c>
      <c r="D36" s="164">
        <v>100</v>
      </c>
      <c r="E36" s="68">
        <v>71</v>
      </c>
      <c r="F36" s="69">
        <v>45</v>
      </c>
      <c r="G36" s="69">
        <v>61</v>
      </c>
      <c r="H36" s="194">
        <v>100</v>
      </c>
      <c r="I36" s="31">
        <v>31</v>
      </c>
      <c r="J36" s="31">
        <v>40</v>
      </c>
      <c r="K36" s="71">
        <v>48</v>
      </c>
      <c r="L36" s="67">
        <v>80</v>
      </c>
      <c r="M36" s="31">
        <v>67</v>
      </c>
      <c r="N36" s="79">
        <v>82</v>
      </c>
      <c r="O36" s="67">
        <v>80</v>
      </c>
      <c r="P36" s="57">
        <v>58</v>
      </c>
      <c r="Q36" s="31">
        <v>46</v>
      </c>
      <c r="R36" s="79">
        <v>50</v>
      </c>
      <c r="S36" s="67">
        <v>60</v>
      </c>
      <c r="T36" s="57">
        <v>38</v>
      </c>
      <c r="U36" s="31">
        <v>41</v>
      </c>
      <c r="V36" s="79">
        <v>32</v>
      </c>
      <c r="W36" s="182">
        <v>45</v>
      </c>
      <c r="X36" s="31">
        <v>27</v>
      </c>
      <c r="Y36" s="31">
        <v>31</v>
      </c>
      <c r="Z36" s="67">
        <v>28</v>
      </c>
      <c r="AA36" s="71">
        <v>5</v>
      </c>
      <c r="AB36" s="67">
        <v>8</v>
      </c>
      <c r="AC36" s="67">
        <v>3</v>
      </c>
      <c r="AD36" s="66">
        <v>0</v>
      </c>
    </row>
    <row r="37" spans="1:30" ht="18" customHeight="1">
      <c r="A37" s="25" t="s">
        <v>64</v>
      </c>
      <c r="B37" s="3">
        <v>23</v>
      </c>
      <c r="C37" s="15">
        <v>10</v>
      </c>
      <c r="D37" s="169">
        <v>30</v>
      </c>
      <c r="E37" s="69">
        <v>34</v>
      </c>
      <c r="F37" s="98">
        <v>30</v>
      </c>
      <c r="G37" s="98">
        <v>51</v>
      </c>
      <c r="H37" s="195">
        <v>30</v>
      </c>
      <c r="I37" s="31">
        <v>34</v>
      </c>
      <c r="J37" s="31">
        <v>28</v>
      </c>
      <c r="K37" s="71">
        <v>35</v>
      </c>
      <c r="L37" s="114">
        <v>25</v>
      </c>
      <c r="M37" s="72">
        <v>31</v>
      </c>
      <c r="N37" s="59">
        <v>42</v>
      </c>
      <c r="O37" s="65">
        <v>25</v>
      </c>
      <c r="P37" s="58">
        <v>45</v>
      </c>
      <c r="Q37" s="72">
        <v>36</v>
      </c>
      <c r="R37" s="59">
        <v>46</v>
      </c>
      <c r="S37" s="65">
        <v>20</v>
      </c>
      <c r="T37" s="58">
        <v>26</v>
      </c>
      <c r="U37" s="72">
        <v>24</v>
      </c>
      <c r="V37" s="59">
        <v>14</v>
      </c>
      <c r="W37" s="184">
        <v>10</v>
      </c>
      <c r="X37" s="58">
        <v>23</v>
      </c>
      <c r="Y37" s="72">
        <v>21</v>
      </c>
      <c r="Z37" s="65">
        <v>36</v>
      </c>
      <c r="AA37" s="71">
        <v>5</v>
      </c>
      <c r="AB37" s="65">
        <v>9</v>
      </c>
      <c r="AC37" s="65">
        <v>5</v>
      </c>
      <c r="AD37" s="87">
        <v>0</v>
      </c>
    </row>
    <row r="38" spans="1:30" s="22" customFormat="1" ht="18" customHeight="1" thickBot="1">
      <c r="A38" s="25" t="s">
        <v>65</v>
      </c>
      <c r="B38" s="3">
        <v>13</v>
      </c>
      <c r="C38" s="15">
        <v>10</v>
      </c>
      <c r="D38" s="169">
        <v>10</v>
      </c>
      <c r="E38" s="100">
        <v>12</v>
      </c>
      <c r="F38" s="100">
        <v>16</v>
      </c>
      <c r="G38" s="69">
        <v>12</v>
      </c>
      <c r="H38" s="167">
        <v>10</v>
      </c>
      <c r="I38" s="31">
        <v>10</v>
      </c>
      <c r="J38" s="31">
        <v>18</v>
      </c>
      <c r="K38" s="31">
        <v>13</v>
      </c>
      <c r="L38" s="31">
        <v>10</v>
      </c>
      <c r="M38" s="31">
        <v>17</v>
      </c>
      <c r="N38" s="31">
        <v>21</v>
      </c>
      <c r="O38" s="193">
        <v>10</v>
      </c>
      <c r="P38" s="71">
        <v>17</v>
      </c>
      <c r="Q38" s="31">
        <v>16</v>
      </c>
      <c r="R38" s="58">
        <v>12</v>
      </c>
      <c r="S38" s="189">
        <v>10</v>
      </c>
      <c r="T38" s="57">
        <v>13</v>
      </c>
      <c r="U38" s="31">
        <v>3</v>
      </c>
      <c r="V38" s="67">
        <v>1</v>
      </c>
      <c r="W38" s="185">
        <v>10</v>
      </c>
      <c r="X38" s="31">
        <v>3</v>
      </c>
      <c r="Y38" s="31">
        <v>5</v>
      </c>
      <c r="Z38" s="65">
        <v>6</v>
      </c>
      <c r="AA38" s="31">
        <v>0</v>
      </c>
      <c r="AB38" s="67">
        <v>2</v>
      </c>
      <c r="AC38" s="67">
        <v>0</v>
      </c>
      <c r="AD38" s="66">
        <v>0</v>
      </c>
    </row>
    <row r="39" spans="1:30" s="22" customFormat="1" ht="18" customHeight="1" thickBot="1">
      <c r="A39" s="252" t="s">
        <v>66</v>
      </c>
      <c r="B39" s="34">
        <f>SUM(B32:B38)</f>
        <v>160</v>
      </c>
      <c r="C39" s="253">
        <v>100</v>
      </c>
      <c r="D39" s="161">
        <v>225</v>
      </c>
      <c r="E39" s="100">
        <f>SUM(E32:E38)</f>
        <v>218</v>
      </c>
      <c r="F39" s="100">
        <f>SUM(F32:F38)</f>
        <v>209</v>
      </c>
      <c r="G39" s="100">
        <f>SUM(G32:G38)</f>
        <v>262</v>
      </c>
      <c r="H39" s="166">
        <v>225</v>
      </c>
      <c r="I39" s="103">
        <f>SUM(I32:I38)</f>
        <v>144</v>
      </c>
      <c r="J39" s="103">
        <f>SUM(J32:J38)</f>
        <v>187</v>
      </c>
      <c r="K39" s="101">
        <f>SUM(K32:K38)</f>
        <v>163</v>
      </c>
      <c r="L39" s="101">
        <v>190</v>
      </c>
      <c r="M39" s="101">
        <f>SUM(M32:M38)</f>
        <v>170</v>
      </c>
      <c r="N39" s="101">
        <f>SUM(N32:N38)</f>
        <v>224</v>
      </c>
      <c r="O39" s="35">
        <v>190</v>
      </c>
      <c r="P39" s="208">
        <f>SUM(P32:P38)</f>
        <v>188</v>
      </c>
      <c r="Q39" s="101">
        <f>SUM(Q32:Q38)</f>
        <v>179</v>
      </c>
      <c r="R39" s="102">
        <f>SUM(R32:R38)</f>
        <v>170</v>
      </c>
      <c r="S39" s="35">
        <v>160</v>
      </c>
      <c r="T39" s="102">
        <f>SUM(T32:T38)</f>
        <v>125</v>
      </c>
      <c r="U39" s="101">
        <f>SUM(U32:U38)</f>
        <v>96</v>
      </c>
      <c r="V39" s="35">
        <f>SUM(V32:V38)</f>
        <v>66</v>
      </c>
      <c r="W39" s="185">
        <v>130</v>
      </c>
      <c r="X39" s="137">
        <f>SUM(X32:X38)</f>
        <v>103</v>
      </c>
      <c r="Y39" s="101">
        <f>SUM(Y32:Y38)</f>
        <v>115</v>
      </c>
      <c r="Z39" s="254">
        <f>SUM(Z32:Z38)</f>
        <v>141</v>
      </c>
      <c r="AA39" s="101">
        <v>50</v>
      </c>
      <c r="AB39" s="35">
        <f>SUM(AB32:AB38)</f>
        <v>24</v>
      </c>
      <c r="AC39" s="35">
        <f>SUM(AC32:AC38)</f>
        <v>16</v>
      </c>
      <c r="AD39" s="35">
        <f>SUM(AD32:AD38)</f>
        <v>0</v>
      </c>
    </row>
    <row r="40" spans="1:30" ht="18" customHeight="1">
      <c r="A40" s="255" t="s">
        <v>67</v>
      </c>
      <c r="B40" s="31"/>
      <c r="C40" s="31"/>
      <c r="D40" s="171"/>
      <c r="E40" s="149"/>
      <c r="F40" s="62"/>
      <c r="G40" s="62"/>
      <c r="H40" s="165"/>
      <c r="I40" s="64"/>
      <c r="J40" s="67"/>
      <c r="K40" s="104"/>
      <c r="L40" s="116"/>
      <c r="M40" s="33"/>
      <c r="N40" s="83"/>
      <c r="O40" s="116"/>
      <c r="P40" s="64"/>
      <c r="Q40" s="33"/>
      <c r="R40" s="36"/>
      <c r="S40" s="116"/>
      <c r="T40" s="104"/>
      <c r="U40" s="33"/>
      <c r="V40" s="36"/>
      <c r="W40" s="139"/>
      <c r="X40" s="104"/>
      <c r="Y40" s="33"/>
      <c r="Z40" s="36"/>
      <c r="AA40" s="116"/>
      <c r="AB40" s="36"/>
      <c r="AC40" s="36"/>
      <c r="AD40" s="104"/>
    </row>
    <row r="41" spans="1:30" ht="18" customHeight="1">
      <c r="A41" s="24" t="s">
        <v>68</v>
      </c>
      <c r="B41" s="3">
        <v>11</v>
      </c>
      <c r="C41" s="15">
        <v>5</v>
      </c>
      <c r="D41" s="164">
        <v>10</v>
      </c>
      <c r="E41" s="132">
        <v>29</v>
      </c>
      <c r="F41" s="69">
        <v>17</v>
      </c>
      <c r="G41" s="69">
        <v>20</v>
      </c>
      <c r="H41" s="163">
        <v>10</v>
      </c>
      <c r="I41" s="31">
        <v>6</v>
      </c>
      <c r="J41" s="57">
        <v>16</v>
      </c>
      <c r="K41" s="79">
        <v>27</v>
      </c>
      <c r="L41" s="65">
        <v>10</v>
      </c>
      <c r="M41" s="79">
        <v>9</v>
      </c>
      <c r="N41" s="79">
        <v>6</v>
      </c>
      <c r="O41" s="116">
        <v>10</v>
      </c>
      <c r="P41" s="57">
        <v>8</v>
      </c>
      <c r="Q41" s="79">
        <v>4</v>
      </c>
      <c r="R41" s="79">
        <v>8</v>
      </c>
      <c r="S41" s="179">
        <v>10</v>
      </c>
      <c r="T41" s="31">
        <v>8</v>
      </c>
      <c r="U41" s="31">
        <v>1</v>
      </c>
      <c r="V41" s="79">
        <v>9</v>
      </c>
      <c r="W41" s="182">
        <v>5</v>
      </c>
      <c r="X41" s="72">
        <v>3</v>
      </c>
      <c r="Y41" s="67">
        <v>7</v>
      </c>
      <c r="Z41" s="31">
        <v>2</v>
      </c>
      <c r="AA41" s="116">
        <v>0</v>
      </c>
      <c r="AB41" s="67">
        <v>0</v>
      </c>
      <c r="AC41" s="67">
        <v>0</v>
      </c>
      <c r="AD41" s="66">
        <v>0</v>
      </c>
    </row>
    <row r="42" spans="1:30" ht="18" customHeight="1">
      <c r="A42" s="24" t="s">
        <v>69</v>
      </c>
      <c r="B42" s="3">
        <v>18</v>
      </c>
      <c r="C42" s="15">
        <v>10</v>
      </c>
      <c r="D42" s="164">
        <v>15</v>
      </c>
      <c r="E42" s="132">
        <v>26</v>
      </c>
      <c r="F42" s="69">
        <v>19</v>
      </c>
      <c r="G42" s="69">
        <v>23</v>
      </c>
      <c r="H42" s="189">
        <v>15</v>
      </c>
      <c r="I42" s="31">
        <v>11</v>
      </c>
      <c r="J42" s="79">
        <v>18</v>
      </c>
      <c r="K42" s="64">
        <v>29</v>
      </c>
      <c r="L42" s="65">
        <v>10</v>
      </c>
      <c r="M42" s="31">
        <v>16</v>
      </c>
      <c r="N42" s="79">
        <v>15</v>
      </c>
      <c r="O42" s="116">
        <v>10</v>
      </c>
      <c r="P42" s="57">
        <v>8</v>
      </c>
      <c r="Q42" s="79">
        <v>6</v>
      </c>
      <c r="R42" s="79">
        <v>6</v>
      </c>
      <c r="S42" s="179">
        <v>10</v>
      </c>
      <c r="T42" s="31">
        <v>10</v>
      </c>
      <c r="U42" s="31">
        <v>4</v>
      </c>
      <c r="V42" s="79">
        <v>3</v>
      </c>
      <c r="W42" s="124">
        <v>5</v>
      </c>
      <c r="X42" s="72">
        <v>2</v>
      </c>
      <c r="Y42" s="31">
        <v>4</v>
      </c>
      <c r="Z42" s="31">
        <v>8</v>
      </c>
      <c r="AA42" s="116">
        <v>0</v>
      </c>
      <c r="AB42" s="67">
        <v>0</v>
      </c>
      <c r="AC42" s="67">
        <v>2</v>
      </c>
      <c r="AD42" s="67">
        <v>0</v>
      </c>
    </row>
    <row r="43" spans="1:30" ht="18" customHeight="1">
      <c r="A43" s="24" t="s">
        <v>70</v>
      </c>
      <c r="B43" s="3">
        <v>26</v>
      </c>
      <c r="C43" s="15">
        <v>10</v>
      </c>
      <c r="D43" s="189">
        <v>25</v>
      </c>
      <c r="E43" s="132">
        <v>27</v>
      </c>
      <c r="F43" s="69">
        <v>39</v>
      </c>
      <c r="G43" s="69">
        <v>27</v>
      </c>
      <c r="H43" s="163">
        <v>20</v>
      </c>
      <c r="I43" s="31">
        <v>15</v>
      </c>
      <c r="J43" s="79">
        <v>29</v>
      </c>
      <c r="K43" s="79">
        <v>36</v>
      </c>
      <c r="L43" s="65">
        <v>10</v>
      </c>
      <c r="M43" s="79">
        <v>21</v>
      </c>
      <c r="N43" s="79">
        <v>11</v>
      </c>
      <c r="O43" s="116">
        <v>10</v>
      </c>
      <c r="P43" s="79">
        <v>7</v>
      </c>
      <c r="Q43" s="79">
        <v>16</v>
      </c>
      <c r="R43" s="79">
        <v>18</v>
      </c>
      <c r="S43" s="179">
        <v>10</v>
      </c>
      <c r="T43" s="31">
        <v>10</v>
      </c>
      <c r="U43" s="31">
        <v>8</v>
      </c>
      <c r="V43" s="79">
        <v>5</v>
      </c>
      <c r="W43" s="124">
        <v>5</v>
      </c>
      <c r="X43" s="72">
        <v>5</v>
      </c>
      <c r="Y43" s="86">
        <v>11</v>
      </c>
      <c r="Z43" s="31">
        <v>4</v>
      </c>
      <c r="AA43" s="79">
        <v>0</v>
      </c>
      <c r="AB43" s="67">
        <v>0</v>
      </c>
      <c r="AC43" s="67">
        <v>1</v>
      </c>
      <c r="AD43" s="66">
        <v>0</v>
      </c>
    </row>
    <row r="44" spans="1:30" ht="18" customHeight="1" thickBot="1">
      <c r="A44" s="25" t="s">
        <v>71</v>
      </c>
      <c r="B44" s="3">
        <v>13</v>
      </c>
      <c r="C44" s="15">
        <v>5</v>
      </c>
      <c r="D44" s="163">
        <v>10</v>
      </c>
      <c r="E44" s="130">
        <v>23</v>
      </c>
      <c r="F44" s="89">
        <v>24</v>
      </c>
      <c r="G44" s="89">
        <v>28</v>
      </c>
      <c r="H44" s="189">
        <v>10</v>
      </c>
      <c r="I44" s="31">
        <v>15</v>
      </c>
      <c r="J44" s="57">
        <v>20</v>
      </c>
      <c r="K44" s="79">
        <v>26</v>
      </c>
      <c r="L44" s="65">
        <v>5</v>
      </c>
      <c r="M44" s="79">
        <v>14</v>
      </c>
      <c r="N44" s="79">
        <v>14</v>
      </c>
      <c r="O44" s="64">
        <v>5</v>
      </c>
      <c r="P44" s="79">
        <v>6</v>
      </c>
      <c r="Q44" s="79">
        <v>13</v>
      </c>
      <c r="R44" s="79">
        <v>9</v>
      </c>
      <c r="S44" s="31">
        <v>5</v>
      </c>
      <c r="T44" s="31">
        <v>6</v>
      </c>
      <c r="U44" s="31">
        <v>10</v>
      </c>
      <c r="V44" s="79">
        <v>7</v>
      </c>
      <c r="W44" s="183">
        <v>5</v>
      </c>
      <c r="X44" s="72">
        <v>6</v>
      </c>
      <c r="Y44" s="31">
        <v>7</v>
      </c>
      <c r="Z44" s="31">
        <v>5</v>
      </c>
      <c r="AA44" s="116">
        <v>0</v>
      </c>
      <c r="AB44" s="67">
        <v>0</v>
      </c>
      <c r="AC44" s="67">
        <v>0</v>
      </c>
      <c r="AD44" s="71">
        <v>0</v>
      </c>
    </row>
    <row r="45" spans="1:30" s="4" customFormat="1" ht="18" customHeight="1" thickBot="1">
      <c r="A45" s="27" t="s">
        <v>72</v>
      </c>
      <c r="B45" s="29">
        <f>SUM(B41:B44)</f>
        <v>68</v>
      </c>
      <c r="C45" s="37">
        <v>40</v>
      </c>
      <c r="D45" s="200">
        <v>60</v>
      </c>
      <c r="E45" s="148">
        <f>SUM(E41:E44)</f>
        <v>105</v>
      </c>
      <c r="F45" s="77">
        <f>SUM(F41:F44)</f>
        <v>99</v>
      </c>
      <c r="G45" s="77">
        <f>SUM(G41:G44)</f>
        <v>98</v>
      </c>
      <c r="H45" s="162">
        <v>55</v>
      </c>
      <c r="I45" s="101">
        <f>SUM(I41:I44)</f>
        <v>47</v>
      </c>
      <c r="J45" s="205">
        <f>SUM(J41:J44)</f>
        <v>83</v>
      </c>
      <c r="K45" s="79">
        <f>SUM(K41:K44)</f>
        <v>118</v>
      </c>
      <c r="L45" s="209">
        <v>35</v>
      </c>
      <c r="M45" s="102">
        <f>SUM(M41:M44)</f>
        <v>60</v>
      </c>
      <c r="N45" s="102">
        <f>SUM(N41:N44)</f>
        <v>46</v>
      </c>
      <c r="O45" s="208">
        <v>35</v>
      </c>
      <c r="P45" s="102">
        <f>SUM(P41:P44)</f>
        <v>29</v>
      </c>
      <c r="Q45" s="102">
        <f>SUM(Q41:Q44)</f>
        <v>39</v>
      </c>
      <c r="R45" s="102">
        <f>SUM(R41:R44)</f>
        <v>41</v>
      </c>
      <c r="S45" s="210">
        <v>35</v>
      </c>
      <c r="T45" s="101">
        <f>SUM(T41:T44)</f>
        <v>34</v>
      </c>
      <c r="U45" s="101">
        <f>SUM(U41:U44)</f>
        <v>23</v>
      </c>
      <c r="V45" s="102">
        <f>SUM(V41:V44)</f>
        <v>24</v>
      </c>
      <c r="W45" s="100">
        <v>20</v>
      </c>
      <c r="X45" s="103">
        <f>SUM(X41:X44)</f>
        <v>16</v>
      </c>
      <c r="Y45" s="35">
        <f>SUM(Y41:Y44)</f>
        <v>29</v>
      </c>
      <c r="Z45" s="101">
        <f>SUM(Z41:Z44)</f>
        <v>19</v>
      </c>
      <c r="AA45" s="135">
        <v>0</v>
      </c>
      <c r="AB45" s="74">
        <f>SUM(AB41:AB44)</f>
        <v>0</v>
      </c>
      <c r="AC45" s="74">
        <f>SUM(AC41:AC44)</f>
        <v>3</v>
      </c>
      <c r="AD45" s="151">
        <v>0</v>
      </c>
    </row>
    <row r="46" spans="1:30" s="4" customFormat="1" ht="18" customHeight="1" thickBot="1">
      <c r="A46" s="27" t="s">
        <v>73</v>
      </c>
      <c r="B46" s="29">
        <f>SUM(B20+B27+B28+B29+B30+B39+B45)</f>
        <v>1153</v>
      </c>
      <c r="C46" s="37">
        <v>800</v>
      </c>
      <c r="D46" s="161">
        <v>1485</v>
      </c>
      <c r="E46" s="148">
        <f>SUM(E20+E27+E28+E29+E30+E39+E45)</f>
        <v>1224</v>
      </c>
      <c r="F46" s="77">
        <f>SUM(F20+F27+F28+F29+F30+F39+F45)</f>
        <v>1389</v>
      </c>
      <c r="G46" s="77">
        <f>SUM(G20+G27+G28+G29+G30+G39+G45)</f>
        <v>1450</v>
      </c>
      <c r="H46" s="161">
        <v>1215</v>
      </c>
      <c r="I46" s="101">
        <f>SUM(I20+I27+I28+I29+I30+I39+I45)</f>
        <v>857</v>
      </c>
      <c r="J46" s="205">
        <f>SUM(J20+J27+J28+J29+J30+J39+J45)</f>
        <v>919</v>
      </c>
      <c r="K46" s="73">
        <f t="shared" ref="K46" si="1">SUM(K20+K27+K28+K29+K30+K39+K45)</f>
        <v>957</v>
      </c>
      <c r="L46" s="74">
        <v>805</v>
      </c>
      <c r="M46" s="73">
        <f>SUM(M20+M27+M28+M29+M30+M39+M45)</f>
        <v>831</v>
      </c>
      <c r="N46" s="105">
        <f t="shared" ref="N46" si="2">SUM(N20+N27+N28+N29+N30+N39+N45)</f>
        <v>844</v>
      </c>
      <c r="O46" s="122">
        <v>805</v>
      </c>
      <c r="P46" s="73">
        <f>SUM(P20+P27+P28+P29+P30+P39+P45)</f>
        <v>918</v>
      </c>
      <c r="Q46" s="73">
        <f>SUM(Q20+Q27+Q28+Q29+Q30+Q39+Q45)</f>
        <v>813</v>
      </c>
      <c r="R46" s="106">
        <f>SUM(R20+R27+R28+R29+R30+R39+R45)</f>
        <v>754</v>
      </c>
      <c r="S46" s="93">
        <v>665</v>
      </c>
      <c r="T46" s="73">
        <f>SUM(T20,T27,T28,T29,T30,T39,T45)</f>
        <v>639</v>
      </c>
      <c r="U46" s="73">
        <f t="shared" ref="U46:V46" si="3">SUM(U20,U27,U28,U29,U30,U39,U45)</f>
        <v>372</v>
      </c>
      <c r="V46" s="73">
        <f t="shared" si="3"/>
        <v>316</v>
      </c>
      <c r="W46" s="100">
        <v>317</v>
      </c>
      <c r="X46" s="107">
        <f>SUM(X20+X27+X28+X29+X30+X39+X45)</f>
        <v>306</v>
      </c>
      <c r="Y46" s="73">
        <f>SUM(Y20+Y27+Y28+Y29+Y30+Y39+Y45)</f>
        <v>307</v>
      </c>
      <c r="Z46" s="73">
        <f>SUM(Z20+Z27+Z28+Z29+Z30+Z39+Z45)</f>
        <v>342</v>
      </c>
      <c r="AA46" s="101">
        <v>58</v>
      </c>
      <c r="AB46" s="74">
        <f>SUM(AB20+AB27+AB28+AB29+AB30+AB39+AB45)</f>
        <v>30</v>
      </c>
      <c r="AC46" s="74">
        <f>SUM(AC20+AC27+AC28+AC29+AC30+AC39+AC45)</f>
        <v>22</v>
      </c>
      <c r="AD46" s="75">
        <f>SUM(AD20+AD27+AD28+AD29+AD30+AD39+AD45)</f>
        <v>0</v>
      </c>
    </row>
    <row r="47" spans="1:30" s="30" customFormat="1" ht="16.5" customHeight="1" thickBot="1">
      <c r="A47" s="109" t="s">
        <v>74</v>
      </c>
      <c r="B47" s="111">
        <v>400</v>
      </c>
      <c r="C47" s="39">
        <v>80</v>
      </c>
      <c r="D47" s="160">
        <v>200</v>
      </c>
      <c r="E47" s="108">
        <v>342</v>
      </c>
      <c r="F47" s="108">
        <v>317</v>
      </c>
      <c r="G47" s="108">
        <v>77</v>
      </c>
      <c r="H47" s="159">
        <v>100</v>
      </c>
      <c r="I47" s="31">
        <v>217</v>
      </c>
      <c r="J47" s="79">
        <v>124</v>
      </c>
      <c r="K47" s="108">
        <v>83</v>
      </c>
      <c r="L47" s="108">
        <v>60</v>
      </c>
      <c r="M47" s="108">
        <v>118</v>
      </c>
      <c r="N47" s="108">
        <v>89</v>
      </c>
      <c r="O47" s="108">
        <v>60</v>
      </c>
      <c r="P47" s="108">
        <v>47</v>
      </c>
      <c r="Q47" s="73">
        <v>124</v>
      </c>
      <c r="R47" s="108">
        <v>52</v>
      </c>
      <c r="S47" s="158">
        <v>50</v>
      </c>
      <c r="T47" s="108">
        <v>24</v>
      </c>
      <c r="U47" s="108">
        <v>3</v>
      </c>
      <c r="V47" s="108">
        <v>1</v>
      </c>
      <c r="W47" s="129">
        <v>20</v>
      </c>
      <c r="X47" s="108">
        <v>21</v>
      </c>
      <c r="Y47" s="108">
        <v>0</v>
      </c>
      <c r="Z47" s="108">
        <v>42</v>
      </c>
      <c r="AA47" s="133">
        <v>0</v>
      </c>
      <c r="AB47" s="76">
        <v>0</v>
      </c>
      <c r="AC47" s="76">
        <v>0</v>
      </c>
      <c r="AD47" s="108">
        <v>0</v>
      </c>
    </row>
    <row r="48" spans="1:30" s="49" customFormat="1">
      <c r="A48" s="256" t="s">
        <v>75</v>
      </c>
      <c r="B48" s="257"/>
      <c r="C48" s="257"/>
      <c r="D48" s="52"/>
      <c r="E48" s="51"/>
      <c r="F48" s="51"/>
      <c r="G48" s="51"/>
      <c r="H48" s="258"/>
      <c r="I48" s="54"/>
      <c r="J48" s="54"/>
      <c r="K48" s="54"/>
      <c r="L48" s="257"/>
      <c r="M48" s="54"/>
      <c r="N48" s="54"/>
      <c r="O48" s="51"/>
      <c r="P48" s="54"/>
      <c r="Q48" s="52"/>
      <c r="R48" s="53"/>
      <c r="S48" s="54"/>
      <c r="T48" s="52"/>
      <c r="U48" s="52"/>
      <c r="V48" s="52"/>
      <c r="W48" s="54"/>
      <c r="X48" s="52"/>
      <c r="Y48" s="52"/>
      <c r="Z48" s="258"/>
      <c r="AA48" s="53"/>
      <c r="AB48" s="258"/>
      <c r="AC48" s="258"/>
      <c r="AD48" s="257"/>
    </row>
    <row r="49" spans="1:30" s="49" customFormat="1">
      <c r="A49" s="56" t="s">
        <v>76</v>
      </c>
      <c r="B49" s="55"/>
      <c r="C49" s="257"/>
      <c r="D49" s="52"/>
      <c r="E49" s="51"/>
      <c r="F49" s="51"/>
      <c r="G49" s="51"/>
      <c r="H49" s="258"/>
      <c r="I49" s="50"/>
      <c r="J49" s="50"/>
      <c r="K49" s="54"/>
      <c r="L49" s="257"/>
      <c r="M49" s="54"/>
      <c r="N49" s="54"/>
      <c r="O49" s="51"/>
      <c r="P49" s="54"/>
      <c r="Q49" s="52"/>
      <c r="R49" s="53"/>
      <c r="S49" s="50"/>
      <c r="T49" s="52"/>
      <c r="U49" s="52"/>
      <c r="V49" s="52"/>
      <c r="W49" s="50"/>
      <c r="X49" s="52"/>
      <c r="Y49" s="52"/>
      <c r="Z49" s="258"/>
      <c r="AA49" s="53"/>
      <c r="AB49" s="258"/>
      <c r="AC49" s="258"/>
      <c r="AD49" s="257"/>
    </row>
  </sheetData>
  <mergeCells count="14">
    <mergeCell ref="I6:J6"/>
    <mergeCell ref="A1:C1"/>
    <mergeCell ref="A2:C2"/>
    <mergeCell ref="A3:C3"/>
    <mergeCell ref="A5:C5"/>
    <mergeCell ref="E6:G6"/>
    <mergeCell ref="P6:R6"/>
    <mergeCell ref="T6:V6"/>
    <mergeCell ref="X6:Z6"/>
    <mergeCell ref="P8:R8"/>
    <mergeCell ref="T8:V8"/>
    <mergeCell ref="X8:Z9"/>
    <mergeCell ref="P9:R9"/>
    <mergeCell ref="T9:V9"/>
  </mergeCells>
  <conditionalFormatting sqref="E10:G20 P10:R20 T10:V20 E22:G30 P22:R30 T22:V30 E32:G39 P32:R39 T32:V39 E41:G47 P41:R47 T41:V47 AC22:AD30 AC32:AD39 AC41:AD47 AC10:AD20">
    <cfRule type="expression" dxfId="68" priority="13">
      <formula>AND($C10&lt;=E10, $B10&gt;E10)</formula>
    </cfRule>
    <cfRule type="expression" dxfId="67" priority="14">
      <formula>($B10&lt;=E10)</formula>
    </cfRule>
    <cfRule type="expression" dxfId="66" priority="15">
      <formula>$C10&gt;E10</formula>
    </cfRule>
  </conditionalFormatting>
  <conditionalFormatting sqref="I10:K20 M10:N20 I22:K30 M22:N30 I32:K39 M32:N39 I41:K47 M41:N47">
    <cfRule type="expression" dxfId="65" priority="10">
      <formula>AND($C10&lt;=I10, $B10&gt;I10)</formula>
    </cfRule>
    <cfRule type="expression" dxfId="64" priority="11">
      <formula>($B10&lt;=I10)</formula>
    </cfRule>
    <cfRule type="expression" dxfId="63" priority="12">
      <formula>$C10&gt;I10</formula>
    </cfRule>
  </conditionalFormatting>
  <conditionalFormatting sqref="X10:Z20 X22:Z30 X32:Z39 X41:Z47">
    <cfRule type="expression" dxfId="62" priority="7">
      <formula>AND($C10&lt;=X10, $B10&gt;X10)</formula>
    </cfRule>
    <cfRule type="expression" dxfId="61" priority="8">
      <formula>($B10&lt;=X10)</formula>
    </cfRule>
    <cfRule type="expression" dxfId="60" priority="9">
      <formula>$C10&gt;X10</formula>
    </cfRule>
  </conditionalFormatting>
  <conditionalFormatting sqref="AB22:AB30 AB32:AB39 AB41:AB47 AB10:AB20">
    <cfRule type="expression" dxfId="59" priority="1">
      <formula>AND($C10&lt;=AB10, $B10&gt;AB10)</formula>
    </cfRule>
    <cfRule type="expression" dxfId="58" priority="2">
      <formula>($B10&lt;=AB10)</formula>
    </cfRule>
    <cfRule type="expression" dxfId="57" priority="3">
      <formula>$C10&gt;AB10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7C1C-27ED-4FBB-9876-B99A107CECB5}">
  <dimension ref="A1:AE48"/>
  <sheetViews>
    <sheetView zoomScale="40" zoomScaleNormal="40" workbookViewId="0">
      <pane xSplit="3" ySplit="4" topLeftCell="D5" activePane="bottomRight" state="frozen"/>
      <selection pane="bottomRight" activeCell="J24" sqref="J24"/>
      <selection pane="bottomLeft" activeCell="A5" sqref="A5"/>
      <selection pane="topRight" activeCell="D1" sqref="D1"/>
    </sheetView>
  </sheetViews>
  <sheetFormatPr defaultColWidth="11" defaultRowHeight="15.6"/>
  <cols>
    <col min="1" max="1" width="46.875" customWidth="1"/>
    <col min="2" max="2" width="11.375" style="13" customWidth="1"/>
    <col min="3" max="3" width="13.375" style="13" customWidth="1"/>
    <col min="4" max="4" width="12.5" customWidth="1"/>
    <col min="8" max="8" width="12.125" customWidth="1"/>
    <col min="9" max="9" width="10.75" customWidth="1"/>
    <col min="11" max="11" width="11.875" customWidth="1"/>
    <col min="12" max="12" width="12.875" hidden="1" customWidth="1"/>
    <col min="13" max="14" width="0" hidden="1" customWidth="1"/>
    <col min="15" max="15" width="12.5" customWidth="1"/>
    <col min="19" max="19" width="13.125" customWidth="1"/>
    <col min="23" max="23" width="13.125" customWidth="1"/>
    <col min="28" max="28" width="11.625" customWidth="1"/>
  </cols>
  <sheetData>
    <row r="1" spans="1:31" ht="17.45">
      <c r="A1" s="271" t="s">
        <v>0</v>
      </c>
      <c r="B1" s="271"/>
      <c r="C1" s="277"/>
    </row>
    <row r="2" spans="1:31">
      <c r="A2" s="272" t="s">
        <v>77</v>
      </c>
      <c r="B2" s="272"/>
      <c r="C2" s="277"/>
    </row>
    <row r="3" spans="1:31">
      <c r="A3" s="272" t="s">
        <v>2</v>
      </c>
      <c r="B3" s="272"/>
      <c r="C3" s="277"/>
      <c r="I3" s="211"/>
    </row>
    <row r="4" spans="1:31" ht="12" customHeight="1" thickBot="1">
      <c r="A4" s="273">
        <v>45933</v>
      </c>
      <c r="B4" s="274"/>
      <c r="C4" s="278"/>
      <c r="F4" s="225"/>
      <c r="T4" s="226"/>
    </row>
    <row r="5" spans="1:31" ht="16.149999999999999" thickBot="1">
      <c r="A5" s="215"/>
      <c r="B5" s="9"/>
      <c r="D5" s="229" t="s">
        <v>3</v>
      </c>
      <c r="E5" s="275"/>
      <c r="F5" s="276"/>
      <c r="G5" s="276"/>
      <c r="H5" s="232" t="s">
        <v>4</v>
      </c>
      <c r="I5" s="269"/>
      <c r="J5" s="270"/>
      <c r="K5" s="233"/>
      <c r="L5" s="126" t="s">
        <v>5</v>
      </c>
      <c r="M5" s="220"/>
      <c r="N5" s="221"/>
      <c r="O5" s="126" t="s">
        <v>6</v>
      </c>
      <c r="P5" s="260"/>
      <c r="Q5" s="261"/>
      <c r="R5" s="262"/>
      <c r="S5" s="218" t="s">
        <v>7</v>
      </c>
      <c r="T5" s="263"/>
      <c r="U5" s="264"/>
      <c r="V5" s="265"/>
      <c r="W5" s="241" t="s">
        <v>8</v>
      </c>
      <c r="X5" s="266"/>
      <c r="Y5" s="267"/>
      <c r="Z5" s="267"/>
      <c r="AA5" s="267"/>
      <c r="AB5" s="121" t="s">
        <v>9</v>
      </c>
      <c r="AC5" s="287"/>
      <c r="AD5" s="288"/>
      <c r="AE5" s="216"/>
    </row>
    <row r="6" spans="1:31" ht="18" customHeight="1" thickBot="1">
      <c r="B6" s="10" t="s">
        <v>10</v>
      </c>
      <c r="C6" s="14"/>
      <c r="D6" s="156" t="s">
        <v>11</v>
      </c>
      <c r="E6" s="18" t="s">
        <v>78</v>
      </c>
      <c r="F6" s="19" t="s">
        <v>79</v>
      </c>
      <c r="G6" s="20" t="s">
        <v>80</v>
      </c>
      <c r="H6" s="156" t="s">
        <v>11</v>
      </c>
      <c r="I6" s="5" t="s">
        <v>81</v>
      </c>
      <c r="J6" s="7" t="s">
        <v>82</v>
      </c>
      <c r="K6" s="236" t="s">
        <v>83</v>
      </c>
      <c r="L6" s="156" t="s">
        <v>11</v>
      </c>
      <c r="M6" s="222" t="s">
        <v>18</v>
      </c>
      <c r="N6" s="223" t="s">
        <v>19</v>
      </c>
      <c r="O6" s="237" t="s">
        <v>11</v>
      </c>
      <c r="P6" s="8" t="s">
        <v>84</v>
      </c>
      <c r="Q6" s="6" t="s">
        <v>85</v>
      </c>
      <c r="R6" s="7" t="s">
        <v>86</v>
      </c>
      <c r="S6" s="238" t="s">
        <v>11</v>
      </c>
      <c r="T6" s="8" t="s">
        <v>87</v>
      </c>
      <c r="U6" s="6" t="s">
        <v>88</v>
      </c>
      <c r="V6" s="7" t="s">
        <v>89</v>
      </c>
      <c r="W6" s="237" t="s">
        <v>11</v>
      </c>
      <c r="X6" s="8" t="s">
        <v>90</v>
      </c>
      <c r="Y6" s="6" t="s">
        <v>91</v>
      </c>
      <c r="Z6" s="17" t="s">
        <v>92</v>
      </c>
      <c r="AA6" s="17" t="s">
        <v>93</v>
      </c>
      <c r="AB6" s="156" t="s">
        <v>11</v>
      </c>
      <c r="AC6" s="8" t="s">
        <v>94</v>
      </c>
      <c r="AD6" s="7" t="s">
        <v>95</v>
      </c>
      <c r="AE6" s="212" t="s">
        <v>29</v>
      </c>
    </row>
    <row r="7" spans="1:31" ht="18" customHeight="1" thickTop="1" thickBot="1">
      <c r="A7" s="1" t="s">
        <v>32</v>
      </c>
      <c r="B7" s="11" t="s">
        <v>33</v>
      </c>
      <c r="C7" s="38" t="s">
        <v>34</v>
      </c>
      <c r="D7" s="227" t="s">
        <v>35</v>
      </c>
      <c r="E7" s="40"/>
      <c r="F7" s="41"/>
      <c r="G7" s="41"/>
      <c r="H7" s="230" t="s">
        <v>35</v>
      </c>
      <c r="I7" s="234"/>
      <c r="J7" s="234"/>
      <c r="K7" s="243"/>
      <c r="L7" s="157" t="s">
        <v>35</v>
      </c>
      <c r="M7" s="220"/>
      <c r="N7" s="220"/>
      <c r="O7" s="157" t="s">
        <v>35</v>
      </c>
      <c r="P7" s="279"/>
      <c r="Q7" s="279"/>
      <c r="R7" s="280"/>
      <c r="S7" s="217" t="s">
        <v>35</v>
      </c>
      <c r="T7" s="281"/>
      <c r="U7" s="281"/>
      <c r="V7" s="282"/>
      <c r="W7" s="239" t="s">
        <v>35</v>
      </c>
      <c r="X7" s="268"/>
      <c r="Y7" s="268"/>
      <c r="Z7" s="268"/>
      <c r="AA7" s="268"/>
      <c r="AB7" s="242" t="s">
        <v>35</v>
      </c>
      <c r="AC7" s="289"/>
      <c r="AD7" s="289"/>
      <c r="AE7" s="214"/>
    </row>
    <row r="8" spans="1:31" ht="18" customHeight="1" thickBot="1">
      <c r="A8" s="21" t="s">
        <v>36</v>
      </c>
      <c r="B8" s="12"/>
      <c r="C8" s="2"/>
      <c r="D8" s="228"/>
      <c r="E8" s="42"/>
      <c r="F8" s="43"/>
      <c r="G8" s="43"/>
      <c r="H8" s="231"/>
      <c r="I8" s="235"/>
      <c r="J8" s="235"/>
      <c r="K8" s="244"/>
      <c r="L8" s="178"/>
      <c r="M8" s="224"/>
      <c r="N8" s="224"/>
      <c r="O8" s="178"/>
      <c r="P8" s="283"/>
      <c r="Q8" s="283"/>
      <c r="R8" s="284"/>
      <c r="S8" s="219"/>
      <c r="T8" s="285"/>
      <c r="U8" s="285"/>
      <c r="V8" s="286"/>
      <c r="W8" s="240"/>
      <c r="X8" s="268"/>
      <c r="Y8" s="268"/>
      <c r="Z8" s="268"/>
      <c r="AA8" s="268"/>
      <c r="AB8" s="213"/>
      <c r="AC8" s="290"/>
      <c r="AD8" s="290"/>
      <c r="AE8" s="213"/>
    </row>
    <row r="9" spans="1:31" ht="18" customHeight="1">
      <c r="A9" s="24" t="s">
        <v>37</v>
      </c>
      <c r="B9" s="3">
        <v>130</v>
      </c>
      <c r="C9" s="15">
        <v>60</v>
      </c>
      <c r="D9" s="196">
        <v>300</v>
      </c>
      <c r="E9" s="61">
        <v>252</v>
      </c>
      <c r="F9" s="62">
        <v>243</v>
      </c>
      <c r="G9" s="62">
        <v>280</v>
      </c>
      <c r="H9" s="177">
        <v>200</v>
      </c>
      <c r="I9" s="31">
        <v>147</v>
      </c>
      <c r="J9" s="31">
        <v>91</v>
      </c>
      <c r="K9" s="57">
        <v>110</v>
      </c>
      <c r="L9" s="59">
        <v>100</v>
      </c>
      <c r="M9" s="58">
        <v>135</v>
      </c>
      <c r="N9" s="58">
        <v>85</v>
      </c>
      <c r="O9" s="115">
        <v>100</v>
      </c>
      <c r="P9" s="58">
        <v>59</v>
      </c>
      <c r="Q9" s="59">
        <v>80</v>
      </c>
      <c r="R9" s="59">
        <v>116</v>
      </c>
      <c r="S9" s="186">
        <v>80</v>
      </c>
      <c r="T9" s="59">
        <v>87</v>
      </c>
      <c r="U9" s="59">
        <v>63</v>
      </c>
      <c r="V9" s="59">
        <v>96</v>
      </c>
      <c r="W9" s="123">
        <v>30</v>
      </c>
      <c r="X9" s="59">
        <v>14</v>
      </c>
      <c r="Y9" s="59">
        <v>59</v>
      </c>
      <c r="Z9" s="36">
        <v>19</v>
      </c>
      <c r="AA9" s="36">
        <v>25</v>
      </c>
      <c r="AB9" s="64">
        <v>0</v>
      </c>
      <c r="AC9" s="60">
        <v>9</v>
      </c>
      <c r="AD9" s="36">
        <v>6</v>
      </c>
      <c r="AE9" s="60">
        <v>15</v>
      </c>
    </row>
    <row r="10" spans="1:31" ht="18" customHeight="1">
      <c r="A10" s="24" t="s">
        <v>38</v>
      </c>
      <c r="B10" s="3">
        <v>27</v>
      </c>
      <c r="C10" s="15">
        <v>20</v>
      </c>
      <c r="D10" s="196">
        <v>35</v>
      </c>
      <c r="E10" s="68">
        <v>43</v>
      </c>
      <c r="F10" s="69">
        <v>49</v>
      </c>
      <c r="G10" s="69">
        <v>53</v>
      </c>
      <c r="H10" s="172">
        <v>30</v>
      </c>
      <c r="I10" s="31">
        <v>33</v>
      </c>
      <c r="J10" s="31">
        <v>38</v>
      </c>
      <c r="K10" s="64">
        <v>40</v>
      </c>
      <c r="L10" s="65">
        <v>20</v>
      </c>
      <c r="M10" s="58">
        <v>46</v>
      </c>
      <c r="N10" s="58">
        <v>46</v>
      </c>
      <c r="O10" s="114">
        <v>20</v>
      </c>
      <c r="P10" s="58">
        <v>50</v>
      </c>
      <c r="Q10" s="59">
        <v>31</v>
      </c>
      <c r="R10" s="59">
        <v>48</v>
      </c>
      <c r="S10" s="187">
        <v>20</v>
      </c>
      <c r="T10" s="31">
        <v>45</v>
      </c>
      <c r="U10" s="59">
        <v>30</v>
      </c>
      <c r="V10" s="59">
        <v>29</v>
      </c>
      <c r="W10" s="124">
        <v>5</v>
      </c>
      <c r="X10" s="31">
        <v>3</v>
      </c>
      <c r="Y10" s="59">
        <v>31</v>
      </c>
      <c r="Z10" s="65">
        <v>4</v>
      </c>
      <c r="AA10" s="65">
        <v>11</v>
      </c>
      <c r="AB10" s="64">
        <v>0</v>
      </c>
      <c r="AC10" s="66">
        <v>5</v>
      </c>
      <c r="AD10" s="67">
        <v>0</v>
      </c>
      <c r="AE10" s="66">
        <v>7</v>
      </c>
    </row>
    <row r="11" spans="1:31" ht="18" customHeight="1">
      <c r="A11" s="24" t="s">
        <v>39</v>
      </c>
      <c r="B11" s="3">
        <v>107</v>
      </c>
      <c r="C11" s="15">
        <v>60</v>
      </c>
      <c r="D11" s="196">
        <v>175</v>
      </c>
      <c r="E11" s="68">
        <v>111</v>
      </c>
      <c r="F11" s="69">
        <v>120</v>
      </c>
      <c r="G11" s="62">
        <v>91</v>
      </c>
      <c r="H11" s="168">
        <v>125</v>
      </c>
      <c r="I11" s="31">
        <v>61</v>
      </c>
      <c r="J11" s="31">
        <v>59</v>
      </c>
      <c r="K11" s="58">
        <v>72</v>
      </c>
      <c r="L11" s="59">
        <v>75</v>
      </c>
      <c r="M11" s="58">
        <v>57</v>
      </c>
      <c r="N11" s="58">
        <v>66</v>
      </c>
      <c r="O11" s="190">
        <v>75</v>
      </c>
      <c r="P11" s="58">
        <v>36</v>
      </c>
      <c r="Q11" s="59">
        <v>48</v>
      </c>
      <c r="R11" s="59">
        <v>68</v>
      </c>
      <c r="S11" s="145">
        <v>40</v>
      </c>
      <c r="T11" s="57">
        <v>37</v>
      </c>
      <c r="U11" s="59">
        <v>27</v>
      </c>
      <c r="V11" s="59">
        <v>61</v>
      </c>
      <c r="W11" s="62">
        <v>10</v>
      </c>
      <c r="X11" s="59">
        <v>9</v>
      </c>
      <c r="Y11" s="59">
        <v>15</v>
      </c>
      <c r="Z11" s="66">
        <v>7</v>
      </c>
      <c r="AA11" s="66">
        <v>10</v>
      </c>
      <c r="AB11" s="71">
        <v>5</v>
      </c>
      <c r="AC11" s="66">
        <v>5</v>
      </c>
      <c r="AD11" s="36">
        <v>2</v>
      </c>
      <c r="AE11" s="66">
        <v>1</v>
      </c>
    </row>
    <row r="12" spans="1:31" ht="18" customHeight="1">
      <c r="A12" s="25" t="s">
        <v>40</v>
      </c>
      <c r="B12" s="3">
        <v>34</v>
      </c>
      <c r="C12" s="15">
        <v>10</v>
      </c>
      <c r="D12" s="196">
        <v>45</v>
      </c>
      <c r="E12" s="68">
        <v>21</v>
      </c>
      <c r="F12" s="69">
        <v>28</v>
      </c>
      <c r="G12" s="62">
        <v>10</v>
      </c>
      <c r="H12" s="177">
        <v>35</v>
      </c>
      <c r="I12" s="31">
        <v>6</v>
      </c>
      <c r="J12" s="31">
        <v>5</v>
      </c>
      <c r="K12" s="71">
        <v>6</v>
      </c>
      <c r="L12" s="59">
        <v>15</v>
      </c>
      <c r="M12" s="58">
        <v>13</v>
      </c>
      <c r="N12" s="58">
        <v>9</v>
      </c>
      <c r="O12" s="66">
        <v>15</v>
      </c>
      <c r="P12" s="58">
        <v>6</v>
      </c>
      <c r="Q12" s="59">
        <v>5</v>
      </c>
      <c r="R12" s="59">
        <v>22</v>
      </c>
      <c r="S12" s="188">
        <v>10</v>
      </c>
      <c r="T12" s="59">
        <v>10</v>
      </c>
      <c r="U12" s="59">
        <v>4</v>
      </c>
      <c r="V12" s="59">
        <v>14</v>
      </c>
      <c r="W12" s="62">
        <v>5</v>
      </c>
      <c r="X12" s="59">
        <v>0</v>
      </c>
      <c r="Y12" s="33">
        <v>0</v>
      </c>
      <c r="Z12" s="66">
        <v>4</v>
      </c>
      <c r="AA12" s="66">
        <v>0</v>
      </c>
      <c r="AB12" s="71">
        <v>0</v>
      </c>
      <c r="AC12" s="66">
        <v>2</v>
      </c>
      <c r="AD12" s="36">
        <v>1</v>
      </c>
      <c r="AE12" s="66">
        <v>1</v>
      </c>
    </row>
    <row r="13" spans="1:31" ht="18" customHeight="1" thickBot="1">
      <c r="A13" s="26" t="s">
        <v>41</v>
      </c>
      <c r="B13" s="3">
        <v>31</v>
      </c>
      <c r="C13" s="15">
        <v>10</v>
      </c>
      <c r="D13" s="196">
        <v>25</v>
      </c>
      <c r="E13" s="61">
        <v>43</v>
      </c>
      <c r="F13" s="62">
        <v>69</v>
      </c>
      <c r="G13" s="62">
        <v>56</v>
      </c>
      <c r="H13" s="177">
        <v>25</v>
      </c>
      <c r="I13" s="31">
        <v>24</v>
      </c>
      <c r="J13" s="67">
        <v>18</v>
      </c>
      <c r="K13" s="71">
        <v>15</v>
      </c>
      <c r="L13" s="79">
        <v>20</v>
      </c>
      <c r="M13" s="58">
        <v>14</v>
      </c>
      <c r="N13" s="58">
        <v>16</v>
      </c>
      <c r="O13" s="60">
        <v>20</v>
      </c>
      <c r="P13" s="58">
        <v>21</v>
      </c>
      <c r="Q13" s="59">
        <v>4</v>
      </c>
      <c r="R13" s="59">
        <v>129</v>
      </c>
      <c r="S13" s="145">
        <v>20</v>
      </c>
      <c r="T13" s="59">
        <v>37</v>
      </c>
      <c r="U13" s="59">
        <v>30</v>
      </c>
      <c r="V13" s="59">
        <v>29</v>
      </c>
      <c r="W13" s="181">
        <v>10</v>
      </c>
      <c r="X13" s="59">
        <v>19</v>
      </c>
      <c r="Y13" s="33">
        <v>19</v>
      </c>
      <c r="Z13" s="66">
        <v>27</v>
      </c>
      <c r="AA13" s="66">
        <v>15</v>
      </c>
      <c r="AB13" s="31">
        <v>0</v>
      </c>
      <c r="AC13" s="60">
        <v>20</v>
      </c>
      <c r="AD13" s="36">
        <v>21</v>
      </c>
      <c r="AE13" s="60">
        <v>5</v>
      </c>
    </row>
    <row r="14" spans="1:31" s="4" customFormat="1" ht="18" customHeight="1" thickBot="1">
      <c r="A14" s="27" t="s">
        <v>42</v>
      </c>
      <c r="B14" s="29">
        <v>65</v>
      </c>
      <c r="C14" s="37">
        <v>60</v>
      </c>
      <c r="D14" s="197">
        <v>70</v>
      </c>
      <c r="E14" s="76">
        <f>SUM(E12:E13)</f>
        <v>64</v>
      </c>
      <c r="F14" s="77">
        <f>SUM(F12:F13)</f>
        <v>97</v>
      </c>
      <c r="G14" s="77">
        <f>SUM(G12:G13)</f>
        <v>66</v>
      </c>
      <c r="H14" s="206">
        <v>60</v>
      </c>
      <c r="I14" s="101">
        <f>SUM(I12:I13)</f>
        <v>30</v>
      </c>
      <c r="J14" s="96">
        <f>SUM(J12+J13)</f>
        <v>23</v>
      </c>
      <c r="K14" s="137">
        <f>SUM(K12:K13)</f>
        <v>21</v>
      </c>
      <c r="L14" s="101">
        <v>35</v>
      </c>
      <c r="M14" s="245">
        <f>SUM(M12:M13)</f>
        <v>27</v>
      </c>
      <c r="N14" s="245">
        <f>SUM(N12:N13)</f>
        <v>25</v>
      </c>
      <c r="O14" s="120">
        <v>35</v>
      </c>
      <c r="P14" s="246">
        <f>SUM(P12:P13)</f>
        <v>27</v>
      </c>
      <c r="Q14" s="246">
        <f>SUM(Q12:Q13)</f>
        <v>9</v>
      </c>
      <c r="R14" s="246">
        <f>SUM(R12:R13)</f>
        <v>151</v>
      </c>
      <c r="S14" s="146">
        <v>30</v>
      </c>
      <c r="T14" s="246">
        <f>SUM(T12+T13)</f>
        <v>47</v>
      </c>
      <c r="U14" s="73">
        <f>U12+U13</f>
        <v>34</v>
      </c>
      <c r="V14" s="247">
        <f>SUM(V12:V13)</f>
        <v>43</v>
      </c>
      <c r="W14" s="125">
        <v>15</v>
      </c>
      <c r="X14" s="31">
        <f>SUM(X12:X13)</f>
        <v>19</v>
      </c>
      <c r="Y14" s="73">
        <f>SUM(Y12:Y13)</f>
        <v>19</v>
      </c>
      <c r="Z14" s="74">
        <f>SUM(Z12:Z13)</f>
        <v>31</v>
      </c>
      <c r="AA14" s="74">
        <f>SUM(AA12:AA13)</f>
        <v>15</v>
      </c>
      <c r="AB14" s="101">
        <v>0</v>
      </c>
      <c r="AC14" s="75">
        <f>SUM(AC12:AC13)</f>
        <v>22</v>
      </c>
      <c r="AD14" s="74">
        <f>SUM(AD12:AD13)</f>
        <v>22</v>
      </c>
      <c r="AE14" s="75">
        <f>SUM(AE12:AE13)</f>
        <v>6</v>
      </c>
    </row>
    <row r="15" spans="1:31" ht="18" customHeight="1">
      <c r="A15" s="24" t="s">
        <v>43</v>
      </c>
      <c r="B15" s="3">
        <v>62</v>
      </c>
      <c r="C15" s="15">
        <v>20</v>
      </c>
      <c r="D15" s="179">
        <v>100</v>
      </c>
      <c r="E15" s="68">
        <v>106</v>
      </c>
      <c r="F15" s="69">
        <v>122</v>
      </c>
      <c r="G15" s="69">
        <v>80</v>
      </c>
      <c r="H15" s="177">
        <v>80</v>
      </c>
      <c r="I15" s="31">
        <v>65</v>
      </c>
      <c r="J15" s="79">
        <v>69</v>
      </c>
      <c r="K15" s="57">
        <v>81</v>
      </c>
      <c r="L15" s="59">
        <v>50</v>
      </c>
      <c r="M15" s="58">
        <v>69</v>
      </c>
      <c r="N15" s="58">
        <v>63</v>
      </c>
      <c r="O15" s="143">
        <v>50</v>
      </c>
      <c r="P15" s="71">
        <v>27</v>
      </c>
      <c r="Q15" s="59">
        <v>71</v>
      </c>
      <c r="R15" s="59">
        <v>62</v>
      </c>
      <c r="S15" s="187">
        <v>40</v>
      </c>
      <c r="T15" s="59">
        <v>28</v>
      </c>
      <c r="U15" s="59">
        <v>37</v>
      </c>
      <c r="V15" s="59">
        <v>65</v>
      </c>
      <c r="W15" s="124">
        <v>15</v>
      </c>
      <c r="X15" s="59">
        <v>23</v>
      </c>
      <c r="Y15" s="59">
        <v>31</v>
      </c>
      <c r="Z15" s="67">
        <v>9</v>
      </c>
      <c r="AA15" s="67">
        <v>14</v>
      </c>
      <c r="AB15" s="116">
        <v>3</v>
      </c>
      <c r="AC15" s="66">
        <v>6</v>
      </c>
      <c r="AD15" s="67">
        <v>11</v>
      </c>
      <c r="AE15" s="66">
        <v>3</v>
      </c>
    </row>
    <row r="16" spans="1:31" ht="18" customHeight="1">
      <c r="A16" s="24" t="s">
        <v>44</v>
      </c>
      <c r="B16" s="3">
        <v>22</v>
      </c>
      <c r="C16" s="15">
        <v>10</v>
      </c>
      <c r="D16" s="179">
        <v>20</v>
      </c>
      <c r="E16" s="68">
        <v>31</v>
      </c>
      <c r="F16" s="69">
        <v>41</v>
      </c>
      <c r="G16" s="69">
        <v>23</v>
      </c>
      <c r="H16" s="177">
        <v>15</v>
      </c>
      <c r="I16" s="31">
        <v>16</v>
      </c>
      <c r="J16" s="204">
        <v>27</v>
      </c>
      <c r="K16" s="57">
        <v>26</v>
      </c>
      <c r="L16" s="114">
        <v>10</v>
      </c>
      <c r="M16" s="58">
        <v>17</v>
      </c>
      <c r="N16" s="58">
        <v>13</v>
      </c>
      <c r="O16" s="144">
        <v>10</v>
      </c>
      <c r="P16" s="71">
        <v>15</v>
      </c>
      <c r="Q16" s="59">
        <v>16</v>
      </c>
      <c r="R16" s="59">
        <v>19</v>
      </c>
      <c r="S16" s="187">
        <v>10</v>
      </c>
      <c r="T16" s="79">
        <v>11</v>
      </c>
      <c r="U16" s="79">
        <v>11</v>
      </c>
      <c r="V16" s="59">
        <v>29</v>
      </c>
      <c r="W16" s="124">
        <v>2</v>
      </c>
      <c r="X16" s="57">
        <v>8</v>
      </c>
      <c r="Y16" s="67">
        <v>4</v>
      </c>
      <c r="Z16" s="67">
        <v>3</v>
      </c>
      <c r="AA16" s="67">
        <v>2</v>
      </c>
      <c r="AB16" s="133">
        <v>0</v>
      </c>
      <c r="AC16" s="66">
        <v>2</v>
      </c>
      <c r="AD16" s="67">
        <v>5</v>
      </c>
      <c r="AE16" s="66">
        <v>0</v>
      </c>
    </row>
    <row r="17" spans="1:31" ht="18" customHeight="1">
      <c r="A17" s="24" t="s">
        <v>45</v>
      </c>
      <c r="B17" s="3">
        <v>14</v>
      </c>
      <c r="C17" s="15">
        <v>10</v>
      </c>
      <c r="D17" s="170">
        <v>15</v>
      </c>
      <c r="E17" s="68">
        <v>13</v>
      </c>
      <c r="F17" s="69">
        <v>41</v>
      </c>
      <c r="G17" s="69">
        <v>23</v>
      </c>
      <c r="H17" s="176">
        <v>15</v>
      </c>
      <c r="I17" s="31">
        <v>19</v>
      </c>
      <c r="J17" s="57">
        <v>32</v>
      </c>
      <c r="K17" s="57">
        <v>16</v>
      </c>
      <c r="L17" s="67">
        <v>15</v>
      </c>
      <c r="M17" s="58">
        <v>20</v>
      </c>
      <c r="N17" s="79">
        <v>19</v>
      </c>
      <c r="O17" s="66">
        <v>15</v>
      </c>
      <c r="P17" s="104">
        <v>28</v>
      </c>
      <c r="Q17" s="31">
        <v>11</v>
      </c>
      <c r="R17" s="33">
        <v>4</v>
      </c>
      <c r="S17" s="187">
        <v>15</v>
      </c>
      <c r="T17" s="31">
        <v>3</v>
      </c>
      <c r="U17" s="79">
        <v>11</v>
      </c>
      <c r="V17" s="79">
        <v>11</v>
      </c>
      <c r="W17" s="182">
        <v>10</v>
      </c>
      <c r="X17" s="31">
        <v>6</v>
      </c>
      <c r="Y17" s="59">
        <v>0</v>
      </c>
      <c r="Z17" s="66">
        <v>2</v>
      </c>
      <c r="AA17" s="66">
        <v>2</v>
      </c>
      <c r="AB17" s="57">
        <v>0</v>
      </c>
      <c r="AC17" s="66">
        <v>0</v>
      </c>
      <c r="AD17" s="67">
        <v>0</v>
      </c>
      <c r="AE17" s="66">
        <v>0</v>
      </c>
    </row>
    <row r="18" spans="1:31" ht="18" customHeight="1" thickBot="1">
      <c r="A18" s="24" t="s">
        <v>46</v>
      </c>
      <c r="B18" s="3">
        <v>19</v>
      </c>
      <c r="C18" s="15">
        <v>10</v>
      </c>
      <c r="D18" s="179">
        <v>30</v>
      </c>
      <c r="E18" s="68">
        <v>31</v>
      </c>
      <c r="F18" s="69">
        <v>84</v>
      </c>
      <c r="G18" s="69">
        <v>27</v>
      </c>
      <c r="H18" s="170">
        <v>20</v>
      </c>
      <c r="I18" s="31">
        <v>24</v>
      </c>
      <c r="J18" s="204">
        <v>47</v>
      </c>
      <c r="K18" s="57">
        <v>13</v>
      </c>
      <c r="L18" s="59">
        <v>10</v>
      </c>
      <c r="M18" s="58">
        <v>13</v>
      </c>
      <c r="N18" s="58">
        <v>21</v>
      </c>
      <c r="O18" s="65">
        <v>10</v>
      </c>
      <c r="P18" s="71">
        <v>59</v>
      </c>
      <c r="Q18" s="79">
        <v>25</v>
      </c>
      <c r="R18" s="31">
        <v>24</v>
      </c>
      <c r="S18" s="187">
        <v>10</v>
      </c>
      <c r="T18" s="31">
        <v>3</v>
      </c>
      <c r="U18" s="79">
        <v>12</v>
      </c>
      <c r="V18" s="79">
        <v>29</v>
      </c>
      <c r="W18" s="124">
        <v>5</v>
      </c>
      <c r="X18" s="59">
        <v>11</v>
      </c>
      <c r="Y18" s="31">
        <v>2</v>
      </c>
      <c r="Z18" s="67">
        <v>3</v>
      </c>
      <c r="AA18" s="67">
        <v>5</v>
      </c>
      <c r="AB18" s="133">
        <v>0</v>
      </c>
      <c r="AC18" s="59">
        <v>1</v>
      </c>
      <c r="AD18" s="65">
        <v>0</v>
      </c>
      <c r="AE18" s="59">
        <v>0</v>
      </c>
    </row>
    <row r="19" spans="1:31" s="4" customFormat="1" ht="18" customHeight="1" thickBot="1">
      <c r="A19" s="27" t="s">
        <v>47</v>
      </c>
      <c r="B19" s="29">
        <f>SUM(B9+B10+B11+B12+B13+B15+B16+B17+B18)</f>
        <v>446</v>
      </c>
      <c r="C19" s="37">
        <v>300</v>
      </c>
      <c r="D19" s="198">
        <v>745</v>
      </c>
      <c r="E19" s="76">
        <f>SUM(E15:E18,E13,E12,E11,E10,E9)</f>
        <v>651</v>
      </c>
      <c r="F19" s="77">
        <f>SUM(F15:F18,F13,F12,F11,F10,F9)</f>
        <v>797</v>
      </c>
      <c r="G19" s="77">
        <f>SUM(G15:G18,G13,G12,G11,G10,G9)</f>
        <v>643</v>
      </c>
      <c r="H19" s="175">
        <v>545</v>
      </c>
      <c r="I19" s="101">
        <f>SUM(I15:I18,I13,I12,I11,I10,I9)</f>
        <v>395</v>
      </c>
      <c r="J19" s="73">
        <f>SUM(J9:J13,J15,J16,J17,J18)</f>
        <v>386</v>
      </c>
      <c r="K19" s="248">
        <f>SUM(K15:K18,K11,K10,K9,K12,K13)</f>
        <v>379</v>
      </c>
      <c r="L19" s="80">
        <v>315</v>
      </c>
      <c r="M19" s="248">
        <f>SUM(M15:M18,M13,M12,M11,M10,M9)</f>
        <v>384</v>
      </c>
      <c r="N19" s="248">
        <f>SUM(N15:N18,N13,N12,N11,N10,N9)</f>
        <v>338</v>
      </c>
      <c r="O19" s="191">
        <v>315</v>
      </c>
      <c r="P19" s="118">
        <f>SUM(P15:P18,P13,P12,P11,P10,P9)</f>
        <v>301</v>
      </c>
      <c r="Q19" s="81">
        <f>SUM(Q15:Q18,Q13,Q12,Q11,Q10,Q9)</f>
        <v>291</v>
      </c>
      <c r="R19" s="82">
        <f>SUM(R15:R18,R13,R12,R11,R10,R9)</f>
        <v>492</v>
      </c>
      <c r="S19" s="147">
        <v>245</v>
      </c>
      <c r="T19" s="81">
        <f>SUM(T9,T10,T11,T12,T13,T15,T16,T17,T18)</f>
        <v>261</v>
      </c>
      <c r="U19" s="81">
        <f t="shared" ref="U19:V19" si="0">SUM(U9,U10,U11,U12,U13,U15,U16,U17,U18)</f>
        <v>225</v>
      </c>
      <c r="V19" s="81">
        <f t="shared" si="0"/>
        <v>363</v>
      </c>
      <c r="W19" s="125">
        <v>92</v>
      </c>
      <c r="X19" s="73">
        <f>SUM(X15:X18,X13,X12,X11,X10,X9)</f>
        <v>93</v>
      </c>
      <c r="Y19" s="35">
        <f>SUM(Y15:Y18,Y13,Y12,Y11,Y10,Y9)</f>
        <v>161</v>
      </c>
      <c r="Z19" s="74">
        <f>SUM(Z15:Z18,Z13,Z12,Z11,Z10,Z9)</f>
        <v>78</v>
      </c>
      <c r="AA19" s="74">
        <f>SUM(AA15:AA18,AA13,AA12,AA11,AA10,AA9)</f>
        <v>84</v>
      </c>
      <c r="AB19" s="134">
        <v>8</v>
      </c>
      <c r="AC19" s="75">
        <f>SUM(AC15:AC18,AC13,AC12,AC11,AC10,AC9)</f>
        <v>50</v>
      </c>
      <c r="AD19" s="74">
        <f>SUM(AD15:AD18,AD13,AD12,AD11,AD10,AD9)</f>
        <v>46</v>
      </c>
      <c r="AE19" s="75">
        <f>SUM(AE15:AE18,AE13,AE12,AE11,AE10,AE9)</f>
        <v>32</v>
      </c>
    </row>
    <row r="20" spans="1:31" ht="18" customHeight="1" thickTop="1">
      <c r="A20" s="28" t="s">
        <v>48</v>
      </c>
      <c r="B20" s="31"/>
      <c r="C20" s="31"/>
      <c r="D20" s="174"/>
      <c r="E20" s="149"/>
      <c r="F20" s="62"/>
      <c r="G20" s="62"/>
      <c r="H20" s="171"/>
      <c r="I20" s="64"/>
      <c r="J20" s="96"/>
      <c r="K20" s="104"/>
      <c r="L20" s="115"/>
      <c r="M20" s="33"/>
      <c r="N20" s="36"/>
      <c r="O20" s="115"/>
      <c r="P20" s="155"/>
      <c r="Q20" s="115"/>
      <c r="R20" s="155"/>
      <c r="S20" s="150"/>
      <c r="T20" s="155"/>
      <c r="U20" s="104"/>
      <c r="V20" s="83"/>
      <c r="W20" s="140"/>
      <c r="X20" s="32"/>
      <c r="Y20" s="33"/>
      <c r="Z20" s="36"/>
      <c r="AA20" s="36"/>
      <c r="AB20" s="135"/>
      <c r="AC20" s="60"/>
      <c r="AD20" s="36"/>
      <c r="AE20" s="60"/>
    </row>
    <row r="21" spans="1:31" ht="17.45" customHeight="1">
      <c r="A21" s="24" t="s">
        <v>49</v>
      </c>
      <c r="B21" s="3">
        <v>64</v>
      </c>
      <c r="C21" s="15">
        <v>30</v>
      </c>
      <c r="D21" s="179">
        <v>50</v>
      </c>
      <c r="E21" s="68">
        <v>30</v>
      </c>
      <c r="F21" s="69">
        <v>32</v>
      </c>
      <c r="G21" s="69">
        <v>20</v>
      </c>
      <c r="H21" s="194">
        <v>40</v>
      </c>
      <c r="I21" s="31">
        <v>17</v>
      </c>
      <c r="J21" s="79">
        <v>14</v>
      </c>
      <c r="K21" s="57">
        <v>12</v>
      </c>
      <c r="L21" s="67">
        <v>20</v>
      </c>
      <c r="M21" s="79">
        <v>14</v>
      </c>
      <c r="N21" s="67">
        <v>18</v>
      </c>
      <c r="O21" s="141">
        <v>20</v>
      </c>
      <c r="P21" s="31">
        <v>3</v>
      </c>
      <c r="Q21" s="31">
        <v>6</v>
      </c>
      <c r="R21" s="84">
        <v>8</v>
      </c>
      <c r="S21" s="67">
        <v>20</v>
      </c>
      <c r="T21" s="31">
        <v>1</v>
      </c>
      <c r="U21" s="31">
        <v>6</v>
      </c>
      <c r="V21" s="79">
        <v>2</v>
      </c>
      <c r="W21" s="124">
        <v>5</v>
      </c>
      <c r="X21" s="31">
        <v>0</v>
      </c>
      <c r="Y21" s="31">
        <v>1</v>
      </c>
      <c r="Z21" s="67">
        <v>0</v>
      </c>
      <c r="AA21" s="67">
        <v>3</v>
      </c>
      <c r="AB21" s="116">
        <v>0</v>
      </c>
      <c r="AC21" s="66">
        <v>0</v>
      </c>
      <c r="AD21" s="67">
        <v>0</v>
      </c>
      <c r="AE21" s="66">
        <v>0</v>
      </c>
    </row>
    <row r="22" spans="1:31" ht="18" customHeight="1">
      <c r="A22" s="24" t="s">
        <v>50</v>
      </c>
      <c r="B22" s="3">
        <v>69</v>
      </c>
      <c r="C22" s="15">
        <v>30</v>
      </c>
      <c r="D22" s="179">
        <v>60</v>
      </c>
      <c r="E22" s="68">
        <v>77</v>
      </c>
      <c r="F22" s="69">
        <v>103</v>
      </c>
      <c r="G22" s="69">
        <v>73</v>
      </c>
      <c r="H22" s="170">
        <v>50</v>
      </c>
      <c r="I22" s="31">
        <v>41</v>
      </c>
      <c r="J22" s="79">
        <v>32</v>
      </c>
      <c r="K22" s="64">
        <v>51</v>
      </c>
      <c r="L22" s="67">
        <v>40</v>
      </c>
      <c r="M22" s="57">
        <v>31</v>
      </c>
      <c r="N22" s="85">
        <v>25</v>
      </c>
      <c r="O22" s="141">
        <v>40</v>
      </c>
      <c r="P22" s="31">
        <v>26</v>
      </c>
      <c r="Q22" s="31">
        <v>37</v>
      </c>
      <c r="R22" s="31">
        <v>28</v>
      </c>
      <c r="S22" s="189">
        <v>30</v>
      </c>
      <c r="T22" s="31">
        <v>13</v>
      </c>
      <c r="U22" s="31">
        <v>29</v>
      </c>
      <c r="V22" s="79">
        <v>18</v>
      </c>
      <c r="W22" s="124">
        <v>10</v>
      </c>
      <c r="X22" s="31">
        <v>2</v>
      </c>
      <c r="Y22" s="31">
        <v>15</v>
      </c>
      <c r="Z22" s="67">
        <v>0</v>
      </c>
      <c r="AA22" s="67">
        <v>6</v>
      </c>
      <c r="AB22" s="116">
        <v>0</v>
      </c>
      <c r="AC22" s="66">
        <v>0</v>
      </c>
      <c r="AD22" s="67">
        <v>0</v>
      </c>
      <c r="AE22" s="66">
        <v>0</v>
      </c>
    </row>
    <row r="23" spans="1:31" ht="28.5" customHeight="1">
      <c r="A23" s="24" t="s">
        <v>51</v>
      </c>
      <c r="B23" s="3">
        <v>145</v>
      </c>
      <c r="C23" s="15">
        <v>30</v>
      </c>
      <c r="D23" s="179">
        <v>125</v>
      </c>
      <c r="E23" s="68">
        <v>158</v>
      </c>
      <c r="F23" s="69">
        <v>131</v>
      </c>
      <c r="G23" s="69">
        <v>122</v>
      </c>
      <c r="H23" s="170">
        <v>100</v>
      </c>
      <c r="I23" s="31">
        <v>75</v>
      </c>
      <c r="J23" s="204">
        <v>33</v>
      </c>
      <c r="K23" s="64">
        <v>73</v>
      </c>
      <c r="L23" s="59">
        <v>60</v>
      </c>
      <c r="M23" s="57">
        <v>41</v>
      </c>
      <c r="N23" s="85">
        <v>52</v>
      </c>
      <c r="O23" s="141">
        <v>60</v>
      </c>
      <c r="P23" s="31">
        <v>48</v>
      </c>
      <c r="Q23" s="31">
        <v>32</v>
      </c>
      <c r="R23" s="31">
        <v>30</v>
      </c>
      <c r="S23" s="189">
        <v>50</v>
      </c>
      <c r="T23" s="31">
        <v>6</v>
      </c>
      <c r="U23" s="59">
        <v>35</v>
      </c>
      <c r="V23" s="79">
        <v>30</v>
      </c>
      <c r="W23" s="124">
        <v>10</v>
      </c>
      <c r="X23" s="59">
        <v>2</v>
      </c>
      <c r="Y23" s="31">
        <v>15</v>
      </c>
      <c r="Z23" s="67">
        <v>0</v>
      </c>
      <c r="AA23" s="67">
        <v>6</v>
      </c>
      <c r="AB23" s="133">
        <v>0</v>
      </c>
      <c r="AC23" s="66">
        <v>0</v>
      </c>
      <c r="AD23" s="67">
        <v>0</v>
      </c>
      <c r="AE23" s="66">
        <v>0</v>
      </c>
    </row>
    <row r="24" spans="1:31" ht="18" customHeight="1">
      <c r="A24" s="24" t="s">
        <v>52</v>
      </c>
      <c r="B24" s="3">
        <v>100</v>
      </c>
      <c r="C24" s="15">
        <v>30</v>
      </c>
      <c r="D24" s="179">
        <v>100</v>
      </c>
      <c r="E24" s="68">
        <v>90</v>
      </c>
      <c r="F24" s="69">
        <v>158</v>
      </c>
      <c r="G24" s="69">
        <v>111</v>
      </c>
      <c r="H24" s="172">
        <v>80</v>
      </c>
      <c r="I24" s="31">
        <v>62</v>
      </c>
      <c r="J24" s="79">
        <v>75</v>
      </c>
      <c r="K24" s="64">
        <v>123</v>
      </c>
      <c r="L24" s="59">
        <v>60</v>
      </c>
      <c r="M24" s="57">
        <v>49</v>
      </c>
      <c r="N24" s="85">
        <v>42</v>
      </c>
      <c r="O24" s="141">
        <v>60</v>
      </c>
      <c r="P24" s="31">
        <v>46</v>
      </c>
      <c r="Q24" s="31">
        <v>62</v>
      </c>
      <c r="R24" s="31">
        <v>58</v>
      </c>
      <c r="S24" s="189">
        <v>50</v>
      </c>
      <c r="T24" s="59">
        <v>18</v>
      </c>
      <c r="U24" s="31">
        <v>61</v>
      </c>
      <c r="V24" s="59">
        <v>29</v>
      </c>
      <c r="W24" s="124">
        <v>10</v>
      </c>
      <c r="X24" s="59">
        <v>4</v>
      </c>
      <c r="Y24" s="59">
        <v>13</v>
      </c>
      <c r="Z24" s="67">
        <v>3</v>
      </c>
      <c r="AA24" s="67">
        <v>22</v>
      </c>
      <c r="AB24" s="116">
        <v>0</v>
      </c>
      <c r="AC24" s="66">
        <v>3</v>
      </c>
      <c r="AD24" s="67">
        <v>1</v>
      </c>
      <c r="AE24" s="66">
        <v>0</v>
      </c>
    </row>
    <row r="25" spans="1:31" ht="18" customHeight="1" thickBot="1">
      <c r="A25" s="25" t="s">
        <v>53</v>
      </c>
      <c r="B25" s="3">
        <v>24</v>
      </c>
      <c r="C25" s="15">
        <v>10</v>
      </c>
      <c r="D25" s="170">
        <v>10</v>
      </c>
      <c r="E25" s="130">
        <v>15</v>
      </c>
      <c r="F25" s="89">
        <v>14</v>
      </c>
      <c r="G25" s="89">
        <v>10</v>
      </c>
      <c r="H25" s="165">
        <v>10</v>
      </c>
      <c r="I25" s="31">
        <v>4</v>
      </c>
      <c r="J25" s="204">
        <v>0</v>
      </c>
      <c r="K25" s="110">
        <v>2</v>
      </c>
      <c r="L25" s="59">
        <v>10</v>
      </c>
      <c r="M25" s="31">
        <v>1</v>
      </c>
      <c r="N25" s="67">
        <v>12</v>
      </c>
      <c r="O25" s="192">
        <v>10</v>
      </c>
      <c r="P25" s="31">
        <v>7</v>
      </c>
      <c r="Q25" s="31">
        <v>9</v>
      </c>
      <c r="R25" s="84">
        <v>6</v>
      </c>
      <c r="S25" s="179">
        <v>10</v>
      </c>
      <c r="T25" s="31">
        <v>1</v>
      </c>
      <c r="U25" s="31">
        <v>6</v>
      </c>
      <c r="V25" s="59">
        <v>5</v>
      </c>
      <c r="W25" s="69">
        <v>5</v>
      </c>
      <c r="X25" s="59">
        <v>0</v>
      </c>
      <c r="Y25" s="31">
        <v>0</v>
      </c>
      <c r="Z25" s="67">
        <v>2</v>
      </c>
      <c r="AA25" s="67">
        <v>0</v>
      </c>
      <c r="AB25" s="133">
        <v>0</v>
      </c>
      <c r="AC25" s="87">
        <v>2</v>
      </c>
      <c r="AD25" s="65">
        <v>0</v>
      </c>
      <c r="AE25" s="87">
        <v>0</v>
      </c>
    </row>
    <row r="26" spans="1:31" s="4" customFormat="1" ht="18" customHeight="1" thickBot="1">
      <c r="A26" s="27" t="s">
        <v>54</v>
      </c>
      <c r="B26" s="29">
        <f>SUM(B21:B25)</f>
        <v>402</v>
      </c>
      <c r="C26" s="37">
        <v>300</v>
      </c>
      <c r="D26" s="199">
        <v>345</v>
      </c>
      <c r="E26" s="131">
        <f>SUM(E21:E25)</f>
        <v>370</v>
      </c>
      <c r="F26" s="77">
        <f>SUM(F21:F25)</f>
        <v>438</v>
      </c>
      <c r="G26" s="77">
        <f>SUM(G21:G25)</f>
        <v>336</v>
      </c>
      <c r="H26" s="173">
        <v>280</v>
      </c>
      <c r="I26" s="103">
        <f>SUM(I21:I25)</f>
        <v>199</v>
      </c>
      <c r="J26" s="117">
        <f>SUM(J21:J25)</f>
        <v>154</v>
      </c>
      <c r="K26" s="136">
        <f>SUM(K21:K25)</f>
        <v>261</v>
      </c>
      <c r="L26" s="74">
        <v>190</v>
      </c>
      <c r="M26" s="90">
        <f>SUM(M21:M25)</f>
        <v>136</v>
      </c>
      <c r="N26" s="91">
        <f>SUM(N21:N25)</f>
        <v>149</v>
      </c>
      <c r="O26" s="153">
        <v>190</v>
      </c>
      <c r="P26" s="92">
        <f>SUM(P21:P25)</f>
        <v>130</v>
      </c>
      <c r="Q26" s="93">
        <f>SUM(Q21:Q25)</f>
        <v>146</v>
      </c>
      <c r="R26" s="94">
        <f>SUM(R21:R25)</f>
        <v>130</v>
      </c>
      <c r="S26" s="101">
        <v>160</v>
      </c>
      <c r="T26" s="90">
        <f>SUM(T21:T25)</f>
        <v>39</v>
      </c>
      <c r="U26" s="73">
        <f>SUM(U21:U25)</f>
        <v>137</v>
      </c>
      <c r="V26" s="94">
        <f>SUM(V21:V25)</f>
        <v>84</v>
      </c>
      <c r="W26" s="100">
        <v>40</v>
      </c>
      <c r="X26" s="73">
        <f>SUM(X21:X25)</f>
        <v>8</v>
      </c>
      <c r="Y26" s="73">
        <f>SUM(Y21:Y25)</f>
        <v>44</v>
      </c>
      <c r="Z26" s="74">
        <f>SUM(Z21:Z25)</f>
        <v>5</v>
      </c>
      <c r="AA26" s="74">
        <f>SUM(AA21:AA25)</f>
        <v>37</v>
      </c>
      <c r="AB26" s="138">
        <v>0</v>
      </c>
      <c r="AC26" s="75">
        <f>SUM(AC21:AC25)</f>
        <v>5</v>
      </c>
      <c r="AD26" s="74">
        <f>SUM(AD21:AD25)</f>
        <v>1</v>
      </c>
      <c r="AE26" s="75">
        <f>SUM(AE21:AE25)</f>
        <v>0</v>
      </c>
    </row>
    <row r="27" spans="1:31" s="22" customFormat="1" ht="18" customHeight="1" thickBot="1">
      <c r="A27" s="249" t="s">
        <v>55</v>
      </c>
      <c r="B27" s="29">
        <v>18</v>
      </c>
      <c r="C27" s="37">
        <v>10</v>
      </c>
      <c r="D27" s="161">
        <v>20</v>
      </c>
      <c r="E27" s="132">
        <v>15</v>
      </c>
      <c r="F27" s="69">
        <v>27</v>
      </c>
      <c r="G27" s="69">
        <v>23</v>
      </c>
      <c r="H27" s="172">
        <v>20</v>
      </c>
      <c r="I27" s="33">
        <v>14</v>
      </c>
      <c r="J27" s="36">
        <v>16</v>
      </c>
      <c r="K27" s="137">
        <v>23</v>
      </c>
      <c r="L27" s="154">
        <v>10</v>
      </c>
      <c r="M27" s="33">
        <v>15</v>
      </c>
      <c r="N27" s="32">
        <v>17</v>
      </c>
      <c r="O27" s="65">
        <v>10</v>
      </c>
      <c r="P27" s="31">
        <v>19</v>
      </c>
      <c r="Q27" s="31">
        <v>21</v>
      </c>
      <c r="R27" s="67">
        <v>25</v>
      </c>
      <c r="S27" s="183">
        <v>10</v>
      </c>
      <c r="T27" s="65">
        <v>15</v>
      </c>
      <c r="U27" s="59">
        <v>11</v>
      </c>
      <c r="V27" s="59">
        <v>8</v>
      </c>
      <c r="W27" s="69">
        <v>5</v>
      </c>
      <c r="X27" s="59">
        <v>12</v>
      </c>
      <c r="Y27" s="59">
        <v>7</v>
      </c>
      <c r="Z27" s="67">
        <v>0</v>
      </c>
      <c r="AA27" s="67">
        <v>4</v>
      </c>
      <c r="AB27" s="207">
        <v>0</v>
      </c>
      <c r="AC27" s="95">
        <v>0</v>
      </c>
      <c r="AD27" s="95">
        <v>0</v>
      </c>
      <c r="AE27" s="95">
        <v>0</v>
      </c>
    </row>
    <row r="28" spans="1:31" s="22" customFormat="1" ht="18" customHeight="1" thickBot="1">
      <c r="A28" s="250" t="s">
        <v>56</v>
      </c>
      <c r="B28" s="29">
        <v>11</v>
      </c>
      <c r="C28" s="37">
        <v>10</v>
      </c>
      <c r="D28" s="161">
        <v>15</v>
      </c>
      <c r="E28" s="69">
        <v>10</v>
      </c>
      <c r="F28" s="69">
        <v>14</v>
      </c>
      <c r="G28" s="69">
        <v>15</v>
      </c>
      <c r="H28" s="172">
        <v>15</v>
      </c>
      <c r="I28" s="31">
        <v>11</v>
      </c>
      <c r="J28" s="67">
        <v>3</v>
      </c>
      <c r="K28" s="79">
        <v>0</v>
      </c>
      <c r="L28" s="85">
        <v>15</v>
      </c>
      <c r="M28" s="31">
        <v>0</v>
      </c>
      <c r="N28" s="57">
        <v>7</v>
      </c>
      <c r="O28" s="65">
        <v>15</v>
      </c>
      <c r="P28" s="31">
        <v>1</v>
      </c>
      <c r="Q28" s="31">
        <v>7</v>
      </c>
      <c r="R28" s="67">
        <v>4</v>
      </c>
      <c r="S28" s="67">
        <v>15</v>
      </c>
      <c r="T28" s="65">
        <v>2</v>
      </c>
      <c r="U28" s="59">
        <v>7</v>
      </c>
      <c r="V28" s="59">
        <v>12</v>
      </c>
      <c r="W28" s="183">
        <v>10</v>
      </c>
      <c r="X28" s="96">
        <v>1</v>
      </c>
      <c r="Y28" s="59">
        <v>0</v>
      </c>
      <c r="Z28" s="67">
        <v>4</v>
      </c>
      <c r="AA28" s="67">
        <v>5</v>
      </c>
      <c r="AB28" s="36">
        <v>0</v>
      </c>
      <c r="AC28" s="65">
        <v>6</v>
      </c>
      <c r="AD28" s="67">
        <v>0</v>
      </c>
      <c r="AE28" s="65">
        <v>0</v>
      </c>
    </row>
    <row r="29" spans="1:31" s="22" customFormat="1" ht="18" customHeight="1" thickBot="1">
      <c r="A29" s="249" t="s">
        <v>57</v>
      </c>
      <c r="B29" s="29">
        <v>48</v>
      </c>
      <c r="C29" s="37">
        <v>20</v>
      </c>
      <c r="D29" s="161">
        <v>75</v>
      </c>
      <c r="E29" s="69">
        <v>40</v>
      </c>
      <c r="F29" s="69">
        <v>129</v>
      </c>
      <c r="G29" s="69">
        <v>97</v>
      </c>
      <c r="H29" s="170">
        <v>75</v>
      </c>
      <c r="I29" s="31">
        <v>89</v>
      </c>
      <c r="J29" s="67">
        <v>129</v>
      </c>
      <c r="K29" s="79">
        <v>112</v>
      </c>
      <c r="L29" s="119">
        <v>50</v>
      </c>
      <c r="M29" s="31">
        <v>66</v>
      </c>
      <c r="N29" s="57">
        <v>63</v>
      </c>
      <c r="O29" s="31">
        <v>50</v>
      </c>
      <c r="P29" s="31">
        <v>86</v>
      </c>
      <c r="Q29" s="31">
        <v>88</v>
      </c>
      <c r="R29" s="67">
        <v>58</v>
      </c>
      <c r="S29" s="67">
        <v>40</v>
      </c>
      <c r="T29" s="65">
        <v>35</v>
      </c>
      <c r="U29" s="59">
        <v>42</v>
      </c>
      <c r="V29" s="59">
        <v>53</v>
      </c>
      <c r="W29" s="183">
        <v>20</v>
      </c>
      <c r="X29" s="97">
        <v>33</v>
      </c>
      <c r="Y29" s="79">
        <v>39</v>
      </c>
      <c r="Z29" s="67">
        <v>25</v>
      </c>
      <c r="AA29" s="67">
        <v>22</v>
      </c>
      <c r="AB29" s="67">
        <v>0</v>
      </c>
      <c r="AC29" s="65">
        <v>20</v>
      </c>
      <c r="AD29" s="67">
        <v>12</v>
      </c>
      <c r="AE29" s="65">
        <v>2</v>
      </c>
    </row>
    <row r="30" spans="1:31" ht="18" customHeight="1" thickBot="1">
      <c r="A30" s="251" t="s">
        <v>58</v>
      </c>
      <c r="B30" s="31"/>
      <c r="C30" s="31"/>
      <c r="D30" s="171"/>
      <c r="E30" s="149"/>
      <c r="F30" s="62"/>
      <c r="G30" s="62"/>
      <c r="H30" s="165"/>
      <c r="I30" s="64"/>
      <c r="J30" s="35"/>
      <c r="K30" s="64"/>
      <c r="L30" s="31"/>
      <c r="M30" s="31"/>
      <c r="N30" s="79"/>
      <c r="O30" s="116"/>
      <c r="P30" s="64"/>
      <c r="Q30" s="33"/>
      <c r="R30" s="36"/>
      <c r="S30" s="116"/>
      <c r="T30" s="104"/>
      <c r="U30" s="33"/>
      <c r="V30" s="36"/>
      <c r="W30" s="139"/>
      <c r="X30" s="104"/>
      <c r="Y30" s="33"/>
      <c r="Z30" s="36"/>
      <c r="AA30" s="36"/>
      <c r="AB30" s="135"/>
      <c r="AC30" s="152"/>
      <c r="AD30" s="36"/>
      <c r="AE30" s="152"/>
    </row>
    <row r="31" spans="1:31" ht="18" customHeight="1">
      <c r="A31" s="24" t="s">
        <v>59</v>
      </c>
      <c r="B31" s="3">
        <v>11</v>
      </c>
      <c r="C31" s="15">
        <v>10</v>
      </c>
      <c r="D31" s="164">
        <v>10</v>
      </c>
      <c r="E31" s="68">
        <v>9</v>
      </c>
      <c r="F31" s="69">
        <v>24</v>
      </c>
      <c r="G31" s="69">
        <v>12</v>
      </c>
      <c r="H31" s="163">
        <v>10</v>
      </c>
      <c r="I31" s="31">
        <v>12</v>
      </c>
      <c r="J31" s="31">
        <v>0</v>
      </c>
      <c r="K31" s="31">
        <v>10</v>
      </c>
      <c r="L31" s="67">
        <v>10</v>
      </c>
      <c r="M31" s="31">
        <v>5</v>
      </c>
      <c r="N31" s="79">
        <v>5</v>
      </c>
      <c r="O31" s="67">
        <v>10</v>
      </c>
      <c r="P31" s="57">
        <v>2</v>
      </c>
      <c r="Q31" s="31">
        <v>7</v>
      </c>
      <c r="R31" s="79">
        <v>5</v>
      </c>
      <c r="S31" s="69">
        <v>10</v>
      </c>
      <c r="T31" s="31">
        <v>13</v>
      </c>
      <c r="U31" s="31">
        <v>2</v>
      </c>
      <c r="V31" s="79">
        <v>3</v>
      </c>
      <c r="W31" s="182">
        <v>10</v>
      </c>
      <c r="X31" s="31">
        <v>0</v>
      </c>
      <c r="Y31" s="31">
        <v>0</v>
      </c>
      <c r="Z31" s="67">
        <v>9</v>
      </c>
      <c r="AA31" s="67">
        <v>4</v>
      </c>
      <c r="AB31" s="179">
        <v>10</v>
      </c>
      <c r="AC31" s="67">
        <v>0</v>
      </c>
      <c r="AD31" s="142">
        <v>0</v>
      </c>
      <c r="AE31" s="67">
        <v>0</v>
      </c>
    </row>
    <row r="32" spans="1:31" ht="18" customHeight="1">
      <c r="A32" s="23" t="s">
        <v>60</v>
      </c>
      <c r="B32" s="3">
        <v>34</v>
      </c>
      <c r="C32" s="15">
        <v>20</v>
      </c>
      <c r="D32" s="164">
        <v>40</v>
      </c>
      <c r="E32" s="68">
        <v>38</v>
      </c>
      <c r="F32" s="69">
        <v>37</v>
      </c>
      <c r="G32" s="69">
        <v>45</v>
      </c>
      <c r="H32" s="179">
        <v>40</v>
      </c>
      <c r="I32" s="31">
        <v>32</v>
      </c>
      <c r="J32" s="31">
        <v>23</v>
      </c>
      <c r="K32" s="31">
        <v>17</v>
      </c>
      <c r="L32" s="116">
        <v>30</v>
      </c>
      <c r="M32" s="31">
        <v>13</v>
      </c>
      <c r="N32" s="31">
        <v>16</v>
      </c>
      <c r="O32" s="69">
        <v>30</v>
      </c>
      <c r="P32" s="57">
        <v>25</v>
      </c>
      <c r="Q32" s="31">
        <v>12</v>
      </c>
      <c r="R32" s="31">
        <v>204</v>
      </c>
      <c r="S32" s="67">
        <v>25</v>
      </c>
      <c r="T32" s="31">
        <v>46</v>
      </c>
      <c r="U32" s="31">
        <v>51</v>
      </c>
      <c r="V32" s="79">
        <v>32</v>
      </c>
      <c r="W32" s="182">
        <v>20</v>
      </c>
      <c r="X32" s="66">
        <v>24</v>
      </c>
      <c r="Y32" s="67">
        <v>21</v>
      </c>
      <c r="Z32" s="142">
        <v>31</v>
      </c>
      <c r="AA32" s="142">
        <v>25</v>
      </c>
      <c r="AB32" s="31">
        <v>10</v>
      </c>
      <c r="AC32" s="68">
        <v>33</v>
      </c>
      <c r="AD32" s="67">
        <v>34</v>
      </c>
      <c r="AE32" s="68">
        <v>20</v>
      </c>
    </row>
    <row r="33" spans="1:31" ht="18" customHeight="1" thickBot="1">
      <c r="A33" s="25" t="s">
        <v>61</v>
      </c>
      <c r="B33" s="3">
        <v>13</v>
      </c>
      <c r="C33" s="15">
        <v>10</v>
      </c>
      <c r="D33" s="164">
        <v>20</v>
      </c>
      <c r="E33" s="88">
        <v>34</v>
      </c>
      <c r="F33" s="89">
        <v>41</v>
      </c>
      <c r="G33" s="89">
        <v>33</v>
      </c>
      <c r="H33" s="165">
        <v>20</v>
      </c>
      <c r="I33" s="31">
        <v>28</v>
      </c>
      <c r="J33" s="31">
        <v>21</v>
      </c>
      <c r="K33" s="64">
        <v>29</v>
      </c>
      <c r="L33" s="116">
        <v>20</v>
      </c>
      <c r="M33" s="31">
        <v>23</v>
      </c>
      <c r="N33" s="79">
        <v>40</v>
      </c>
      <c r="O33" s="67">
        <v>20</v>
      </c>
      <c r="P33" s="57">
        <v>25</v>
      </c>
      <c r="Q33" s="31">
        <v>39</v>
      </c>
      <c r="R33" s="79">
        <v>34</v>
      </c>
      <c r="S33" s="65">
        <v>20</v>
      </c>
      <c r="T33" s="57">
        <v>15</v>
      </c>
      <c r="U33" s="31">
        <v>35</v>
      </c>
      <c r="V33" s="79">
        <v>31</v>
      </c>
      <c r="W33" s="182">
        <v>20</v>
      </c>
      <c r="X33" s="57">
        <v>37</v>
      </c>
      <c r="Y33" s="31">
        <v>24</v>
      </c>
      <c r="Z33" s="67">
        <v>25</v>
      </c>
      <c r="AA33" s="67">
        <v>17</v>
      </c>
      <c r="AB33" s="180">
        <v>10</v>
      </c>
      <c r="AC33" s="66">
        <v>4</v>
      </c>
      <c r="AD33" s="67">
        <v>8</v>
      </c>
      <c r="AE33" s="66">
        <v>0</v>
      </c>
    </row>
    <row r="34" spans="1:31" ht="18" customHeight="1" thickBot="1">
      <c r="A34" s="24" t="s">
        <v>62</v>
      </c>
      <c r="B34" s="3">
        <v>11</v>
      </c>
      <c r="C34" s="15">
        <v>10</v>
      </c>
      <c r="D34" s="164">
        <v>15</v>
      </c>
      <c r="E34" s="69">
        <v>14</v>
      </c>
      <c r="F34" s="70">
        <v>27</v>
      </c>
      <c r="G34" s="89">
        <v>23</v>
      </c>
      <c r="H34" s="163">
        <v>15</v>
      </c>
      <c r="I34" s="31">
        <v>12</v>
      </c>
      <c r="J34" s="31">
        <v>16</v>
      </c>
      <c r="K34" s="64">
        <v>15</v>
      </c>
      <c r="L34" s="67">
        <v>15</v>
      </c>
      <c r="M34" s="31">
        <v>14</v>
      </c>
      <c r="N34" s="79">
        <v>18</v>
      </c>
      <c r="O34" s="67">
        <v>15</v>
      </c>
      <c r="P34" s="57">
        <v>16</v>
      </c>
      <c r="Q34" s="31">
        <v>16</v>
      </c>
      <c r="R34" s="79">
        <v>11</v>
      </c>
      <c r="S34" s="67">
        <v>15</v>
      </c>
      <c r="T34" s="31">
        <v>13</v>
      </c>
      <c r="U34" s="31">
        <v>16</v>
      </c>
      <c r="V34" s="79">
        <v>10</v>
      </c>
      <c r="W34" s="182">
        <v>15</v>
      </c>
      <c r="X34" s="31">
        <v>14</v>
      </c>
      <c r="Y34" s="31">
        <v>11</v>
      </c>
      <c r="Z34" s="67">
        <v>11</v>
      </c>
      <c r="AA34" s="67">
        <v>9</v>
      </c>
      <c r="AB34" s="180">
        <v>10</v>
      </c>
      <c r="AC34" s="66">
        <v>2</v>
      </c>
      <c r="AD34" s="67">
        <v>2</v>
      </c>
      <c r="AE34" s="66">
        <v>0</v>
      </c>
    </row>
    <row r="35" spans="1:31" ht="18" customHeight="1">
      <c r="A35" s="24" t="s">
        <v>63</v>
      </c>
      <c r="B35" s="3">
        <v>55</v>
      </c>
      <c r="C35" s="15">
        <v>30</v>
      </c>
      <c r="D35" s="164">
        <v>100</v>
      </c>
      <c r="E35" s="68">
        <v>56</v>
      </c>
      <c r="F35" s="69">
        <v>131</v>
      </c>
      <c r="G35" s="69">
        <v>73</v>
      </c>
      <c r="H35" s="194">
        <v>100</v>
      </c>
      <c r="I35" s="31">
        <v>65</v>
      </c>
      <c r="J35" s="31">
        <v>74</v>
      </c>
      <c r="K35" s="71">
        <v>71</v>
      </c>
      <c r="L35" s="67">
        <v>80</v>
      </c>
      <c r="M35" s="31">
        <v>67</v>
      </c>
      <c r="N35" s="79">
        <v>82</v>
      </c>
      <c r="O35" s="67">
        <v>80</v>
      </c>
      <c r="P35" s="57">
        <v>61</v>
      </c>
      <c r="Q35" s="31">
        <v>70</v>
      </c>
      <c r="R35" s="79">
        <v>38</v>
      </c>
      <c r="S35" s="67">
        <v>60</v>
      </c>
      <c r="T35" s="57">
        <v>48</v>
      </c>
      <c r="U35" s="31">
        <v>54</v>
      </c>
      <c r="V35" s="79">
        <v>67</v>
      </c>
      <c r="W35" s="182">
        <v>45</v>
      </c>
      <c r="X35" s="31">
        <v>45</v>
      </c>
      <c r="Y35" s="31">
        <v>21</v>
      </c>
      <c r="Z35" s="67">
        <v>15</v>
      </c>
      <c r="AA35" s="67">
        <v>36</v>
      </c>
      <c r="AB35" s="71">
        <v>5</v>
      </c>
      <c r="AC35" s="66">
        <v>10</v>
      </c>
      <c r="AD35" s="67">
        <v>3</v>
      </c>
      <c r="AE35" s="66">
        <v>0</v>
      </c>
    </row>
    <row r="36" spans="1:31" ht="18" customHeight="1">
      <c r="A36" s="25" t="s">
        <v>64</v>
      </c>
      <c r="B36" s="3">
        <v>23</v>
      </c>
      <c r="C36" s="15">
        <v>10</v>
      </c>
      <c r="D36" s="169">
        <v>30</v>
      </c>
      <c r="E36" s="69">
        <v>46</v>
      </c>
      <c r="F36" s="98">
        <v>89</v>
      </c>
      <c r="G36" s="98">
        <v>45</v>
      </c>
      <c r="H36" s="195">
        <v>30</v>
      </c>
      <c r="I36" s="31">
        <v>42</v>
      </c>
      <c r="J36" s="31">
        <v>63</v>
      </c>
      <c r="K36" s="71">
        <v>40</v>
      </c>
      <c r="L36" s="114">
        <v>25</v>
      </c>
      <c r="M36" s="72">
        <v>31</v>
      </c>
      <c r="N36" s="59">
        <v>42</v>
      </c>
      <c r="O36" s="65">
        <v>25</v>
      </c>
      <c r="P36" s="58">
        <v>34</v>
      </c>
      <c r="Q36" s="72">
        <v>37</v>
      </c>
      <c r="R36" s="59">
        <v>34</v>
      </c>
      <c r="S36" s="65">
        <v>20</v>
      </c>
      <c r="T36" s="58">
        <v>43</v>
      </c>
      <c r="U36" s="72">
        <v>22</v>
      </c>
      <c r="V36" s="59">
        <v>38</v>
      </c>
      <c r="W36" s="184">
        <v>10</v>
      </c>
      <c r="X36" s="58">
        <v>21</v>
      </c>
      <c r="Y36" s="72">
        <v>16</v>
      </c>
      <c r="Z36" s="65">
        <v>17</v>
      </c>
      <c r="AA36" s="65">
        <v>32</v>
      </c>
      <c r="AB36" s="71">
        <v>5</v>
      </c>
      <c r="AC36" s="87">
        <v>12</v>
      </c>
      <c r="AD36" s="65">
        <v>13</v>
      </c>
      <c r="AE36" s="87">
        <v>0</v>
      </c>
    </row>
    <row r="37" spans="1:31" s="22" customFormat="1" ht="18" customHeight="1" thickBot="1">
      <c r="A37" s="25" t="s">
        <v>65</v>
      </c>
      <c r="B37" s="3">
        <v>13</v>
      </c>
      <c r="C37" s="15">
        <v>10</v>
      </c>
      <c r="D37" s="169">
        <v>10</v>
      </c>
      <c r="E37" s="100">
        <v>14</v>
      </c>
      <c r="F37" s="100">
        <v>42</v>
      </c>
      <c r="G37" s="69">
        <v>41</v>
      </c>
      <c r="H37" s="167">
        <v>10</v>
      </c>
      <c r="I37" s="31">
        <v>30</v>
      </c>
      <c r="J37" s="31">
        <v>28</v>
      </c>
      <c r="K37" s="31">
        <v>20</v>
      </c>
      <c r="L37" s="31">
        <v>10</v>
      </c>
      <c r="M37" s="31">
        <v>17</v>
      </c>
      <c r="N37" s="31">
        <v>21</v>
      </c>
      <c r="O37" s="193">
        <v>10</v>
      </c>
      <c r="P37" s="71">
        <v>17</v>
      </c>
      <c r="Q37" s="31">
        <v>16</v>
      </c>
      <c r="R37" s="58">
        <v>11</v>
      </c>
      <c r="S37" s="189">
        <v>10</v>
      </c>
      <c r="T37" s="57">
        <v>34</v>
      </c>
      <c r="U37" s="31">
        <v>18</v>
      </c>
      <c r="V37" s="67">
        <v>23</v>
      </c>
      <c r="W37" s="185">
        <v>10</v>
      </c>
      <c r="X37" s="31">
        <v>12</v>
      </c>
      <c r="Y37" s="31">
        <v>2</v>
      </c>
      <c r="Z37" s="65">
        <v>14</v>
      </c>
      <c r="AA37" s="65">
        <v>12</v>
      </c>
      <c r="AB37" s="31">
        <v>0</v>
      </c>
      <c r="AC37" s="66">
        <v>0</v>
      </c>
      <c r="AD37" s="67">
        <v>0</v>
      </c>
      <c r="AE37" s="66">
        <v>0</v>
      </c>
    </row>
    <row r="38" spans="1:31" s="22" customFormat="1" ht="18" customHeight="1" thickBot="1">
      <c r="A38" s="252" t="s">
        <v>66</v>
      </c>
      <c r="B38" s="34">
        <f>SUM(B31:B37)</f>
        <v>160</v>
      </c>
      <c r="C38" s="253">
        <v>100</v>
      </c>
      <c r="D38" s="161">
        <v>225</v>
      </c>
      <c r="E38" s="100">
        <f>SUM(E31:E37)</f>
        <v>211</v>
      </c>
      <c r="F38" s="100">
        <f>SUM(F31:F37)</f>
        <v>391</v>
      </c>
      <c r="G38" s="100">
        <f>SUM(G31:G37)</f>
        <v>272</v>
      </c>
      <c r="H38" s="166">
        <v>225</v>
      </c>
      <c r="I38" s="103">
        <f>SUM(I31:I37)</f>
        <v>221</v>
      </c>
      <c r="J38" s="103">
        <f>SUM(J31:J37)</f>
        <v>225</v>
      </c>
      <c r="K38" s="101">
        <f>SUM(K31:K37)</f>
        <v>202</v>
      </c>
      <c r="L38" s="101">
        <v>190</v>
      </c>
      <c r="M38" s="101">
        <f>SUM(M31:M37)</f>
        <v>170</v>
      </c>
      <c r="N38" s="101">
        <f>SUM(N31:N37)</f>
        <v>224</v>
      </c>
      <c r="O38" s="35">
        <v>190</v>
      </c>
      <c r="P38" s="208">
        <f>SUM(P31:P37)</f>
        <v>180</v>
      </c>
      <c r="Q38" s="101">
        <f>SUM(Q31:Q37)</f>
        <v>197</v>
      </c>
      <c r="R38" s="102">
        <f>SUM(R31:R37)</f>
        <v>337</v>
      </c>
      <c r="S38" s="35">
        <v>160</v>
      </c>
      <c r="T38" s="102">
        <f>SUM(T31:T37)</f>
        <v>212</v>
      </c>
      <c r="U38" s="101">
        <f>SUM(U31:U37)</f>
        <v>198</v>
      </c>
      <c r="V38" s="35">
        <f>SUM(V31:V37)</f>
        <v>204</v>
      </c>
      <c r="W38" s="185">
        <v>130</v>
      </c>
      <c r="X38" s="137">
        <f>SUM(X31:X37)</f>
        <v>153</v>
      </c>
      <c r="Y38" s="101">
        <f>SUM(Y31:Y37)</f>
        <v>95</v>
      </c>
      <c r="Z38" s="254">
        <f>SUM(Z31:Z37)</f>
        <v>122</v>
      </c>
      <c r="AA38" s="254">
        <f>SUM(AA31:AA37)</f>
        <v>135</v>
      </c>
      <c r="AB38" s="101">
        <v>50</v>
      </c>
      <c r="AC38" s="35">
        <f>SUM(AC31:AC37)</f>
        <v>61</v>
      </c>
      <c r="AD38" s="35">
        <f>SUM(AD31:AD37)</f>
        <v>60</v>
      </c>
      <c r="AE38" s="35">
        <f>SUM(AE31:AE37)</f>
        <v>20</v>
      </c>
    </row>
    <row r="39" spans="1:31" ht="18" customHeight="1">
      <c r="A39" s="255" t="s">
        <v>67</v>
      </c>
      <c r="B39" s="31"/>
      <c r="C39" s="31"/>
      <c r="D39" s="171"/>
      <c r="E39" s="149"/>
      <c r="F39" s="62"/>
      <c r="G39" s="62"/>
      <c r="H39" s="165"/>
      <c r="I39" s="64"/>
      <c r="J39" s="67"/>
      <c r="K39" s="104"/>
      <c r="L39" s="116"/>
      <c r="M39" s="33"/>
      <c r="N39" s="83"/>
      <c r="O39" s="116"/>
      <c r="P39" s="64"/>
      <c r="Q39" s="33"/>
      <c r="R39" s="36"/>
      <c r="S39" s="116"/>
      <c r="T39" s="104"/>
      <c r="U39" s="33"/>
      <c r="V39" s="36"/>
      <c r="W39" s="139"/>
      <c r="X39" s="104"/>
      <c r="Y39" s="33"/>
      <c r="Z39" s="36"/>
      <c r="AA39" s="36"/>
      <c r="AB39" s="116"/>
      <c r="AC39" s="104"/>
      <c r="AD39" s="36"/>
      <c r="AE39" s="104"/>
    </row>
    <row r="40" spans="1:31" ht="18" customHeight="1">
      <c r="A40" s="24" t="s">
        <v>68</v>
      </c>
      <c r="B40" s="3">
        <v>11</v>
      </c>
      <c r="C40" s="15">
        <v>5</v>
      </c>
      <c r="D40" s="164">
        <v>10</v>
      </c>
      <c r="E40" s="132">
        <v>22</v>
      </c>
      <c r="F40" s="69">
        <v>29</v>
      </c>
      <c r="G40" s="69">
        <v>14</v>
      </c>
      <c r="H40" s="163">
        <v>10</v>
      </c>
      <c r="I40" s="31">
        <v>17</v>
      </c>
      <c r="J40" s="57">
        <v>14</v>
      </c>
      <c r="K40" s="79">
        <v>7</v>
      </c>
      <c r="L40" s="65">
        <v>10</v>
      </c>
      <c r="M40" s="79">
        <v>9</v>
      </c>
      <c r="N40" s="79">
        <v>6</v>
      </c>
      <c r="O40" s="116">
        <v>10</v>
      </c>
      <c r="P40" s="57">
        <v>16</v>
      </c>
      <c r="Q40" s="79">
        <v>16</v>
      </c>
      <c r="R40" s="79">
        <v>14</v>
      </c>
      <c r="S40" s="179">
        <v>10</v>
      </c>
      <c r="T40" s="31">
        <v>10</v>
      </c>
      <c r="U40" s="31">
        <v>13</v>
      </c>
      <c r="V40" s="79">
        <v>17</v>
      </c>
      <c r="W40" s="182">
        <v>5</v>
      </c>
      <c r="X40" s="72">
        <v>2</v>
      </c>
      <c r="Y40" s="67">
        <v>2</v>
      </c>
      <c r="Z40" s="31">
        <v>4</v>
      </c>
      <c r="AA40" s="31">
        <v>1</v>
      </c>
      <c r="AB40" s="116">
        <v>0</v>
      </c>
      <c r="AC40" s="66">
        <v>0</v>
      </c>
      <c r="AD40" s="67">
        <v>0</v>
      </c>
      <c r="AE40" s="66">
        <v>0</v>
      </c>
    </row>
    <row r="41" spans="1:31" ht="18" customHeight="1">
      <c r="A41" s="24" t="s">
        <v>69</v>
      </c>
      <c r="B41" s="3">
        <v>18</v>
      </c>
      <c r="C41" s="15">
        <v>10</v>
      </c>
      <c r="D41" s="164">
        <v>15</v>
      </c>
      <c r="E41" s="132">
        <v>43</v>
      </c>
      <c r="F41" s="69">
        <v>42</v>
      </c>
      <c r="G41" s="69">
        <v>26</v>
      </c>
      <c r="H41" s="189">
        <v>15</v>
      </c>
      <c r="I41" s="31">
        <v>23</v>
      </c>
      <c r="J41" s="79">
        <v>26</v>
      </c>
      <c r="K41" s="64">
        <v>12</v>
      </c>
      <c r="L41" s="65">
        <v>10</v>
      </c>
      <c r="M41" s="31">
        <v>16</v>
      </c>
      <c r="N41" s="79">
        <v>15</v>
      </c>
      <c r="O41" s="116">
        <v>10</v>
      </c>
      <c r="P41" s="57">
        <v>13</v>
      </c>
      <c r="Q41" s="79">
        <v>14</v>
      </c>
      <c r="R41" s="79">
        <v>25</v>
      </c>
      <c r="S41" s="179">
        <v>10</v>
      </c>
      <c r="T41" s="31">
        <v>16</v>
      </c>
      <c r="U41" s="31">
        <v>11</v>
      </c>
      <c r="V41" s="79">
        <v>21</v>
      </c>
      <c r="W41" s="124">
        <v>5</v>
      </c>
      <c r="X41" s="72">
        <v>3</v>
      </c>
      <c r="Y41" s="31">
        <v>1</v>
      </c>
      <c r="Z41" s="31">
        <v>9</v>
      </c>
      <c r="AA41" s="31">
        <v>4</v>
      </c>
      <c r="AB41" s="116">
        <v>0</v>
      </c>
      <c r="AC41" s="67">
        <v>1</v>
      </c>
      <c r="AD41" s="67">
        <v>0</v>
      </c>
      <c r="AE41" s="67">
        <v>0</v>
      </c>
    </row>
    <row r="42" spans="1:31" ht="18" customHeight="1">
      <c r="A42" s="24" t="s">
        <v>70</v>
      </c>
      <c r="B42" s="3">
        <v>26</v>
      </c>
      <c r="C42" s="15">
        <v>10</v>
      </c>
      <c r="D42" s="189">
        <v>25</v>
      </c>
      <c r="E42" s="132">
        <v>25</v>
      </c>
      <c r="F42" s="69">
        <v>52</v>
      </c>
      <c r="G42" s="69">
        <v>45</v>
      </c>
      <c r="H42" s="163">
        <v>20</v>
      </c>
      <c r="I42" s="31">
        <v>24</v>
      </c>
      <c r="J42" s="79">
        <v>28</v>
      </c>
      <c r="K42" s="79">
        <v>8</v>
      </c>
      <c r="L42" s="65">
        <v>10</v>
      </c>
      <c r="M42" s="79">
        <v>21</v>
      </c>
      <c r="N42" s="79">
        <v>11</v>
      </c>
      <c r="O42" s="116">
        <v>10</v>
      </c>
      <c r="P42" s="79">
        <v>28</v>
      </c>
      <c r="Q42" s="79">
        <v>30</v>
      </c>
      <c r="R42" s="79">
        <v>28</v>
      </c>
      <c r="S42" s="179">
        <v>10</v>
      </c>
      <c r="T42" s="31">
        <v>17</v>
      </c>
      <c r="U42" s="31">
        <v>18</v>
      </c>
      <c r="V42" s="79">
        <v>21</v>
      </c>
      <c r="W42" s="124">
        <v>5</v>
      </c>
      <c r="X42" s="72">
        <v>2</v>
      </c>
      <c r="Y42" s="86">
        <v>2</v>
      </c>
      <c r="Z42" s="31">
        <v>14</v>
      </c>
      <c r="AA42" s="31">
        <v>4</v>
      </c>
      <c r="AB42" s="79">
        <v>0</v>
      </c>
      <c r="AC42" s="66">
        <v>0</v>
      </c>
      <c r="AD42" s="67">
        <v>0</v>
      </c>
      <c r="AE42" s="66">
        <v>0</v>
      </c>
    </row>
    <row r="43" spans="1:31" ht="18" customHeight="1" thickBot="1">
      <c r="A43" s="25" t="s">
        <v>71</v>
      </c>
      <c r="B43" s="3">
        <v>13</v>
      </c>
      <c r="C43" s="15">
        <v>5</v>
      </c>
      <c r="D43" s="163">
        <v>10</v>
      </c>
      <c r="E43" s="130">
        <v>23</v>
      </c>
      <c r="F43" s="89">
        <v>31</v>
      </c>
      <c r="G43" s="89">
        <v>16</v>
      </c>
      <c r="H43" s="189">
        <v>10</v>
      </c>
      <c r="I43" s="31">
        <v>15</v>
      </c>
      <c r="J43" s="57">
        <v>20</v>
      </c>
      <c r="K43" s="79">
        <v>17</v>
      </c>
      <c r="L43" s="65">
        <v>5</v>
      </c>
      <c r="M43" s="79">
        <v>14</v>
      </c>
      <c r="N43" s="79">
        <v>14</v>
      </c>
      <c r="O43" s="64">
        <v>5</v>
      </c>
      <c r="P43" s="79">
        <v>17</v>
      </c>
      <c r="Q43" s="79">
        <v>13</v>
      </c>
      <c r="R43" s="79">
        <v>8</v>
      </c>
      <c r="S43" s="31">
        <v>5</v>
      </c>
      <c r="T43" s="31">
        <v>11</v>
      </c>
      <c r="U43" s="31">
        <v>15</v>
      </c>
      <c r="V43" s="79">
        <v>18</v>
      </c>
      <c r="W43" s="183">
        <v>5</v>
      </c>
      <c r="X43" s="72">
        <v>6</v>
      </c>
      <c r="Y43" s="31">
        <v>2</v>
      </c>
      <c r="Z43" s="31">
        <v>8</v>
      </c>
      <c r="AA43" s="31">
        <v>0</v>
      </c>
      <c r="AB43" s="116">
        <v>0</v>
      </c>
      <c r="AC43" s="71">
        <v>0</v>
      </c>
      <c r="AD43" s="67">
        <v>0</v>
      </c>
      <c r="AE43" s="71">
        <v>0</v>
      </c>
    </row>
    <row r="44" spans="1:31" s="4" customFormat="1" ht="18" customHeight="1" thickBot="1">
      <c r="A44" s="27" t="s">
        <v>72</v>
      </c>
      <c r="B44" s="29">
        <f>SUM(B40:B43)</f>
        <v>68</v>
      </c>
      <c r="C44" s="37">
        <v>40</v>
      </c>
      <c r="D44" s="200">
        <v>60</v>
      </c>
      <c r="E44" s="148">
        <f>SUM(E40:E43)</f>
        <v>113</v>
      </c>
      <c r="F44" s="77">
        <f>SUM(F40:F43)</f>
        <v>154</v>
      </c>
      <c r="G44" s="77">
        <f>SUM(G40:G43)</f>
        <v>101</v>
      </c>
      <c r="H44" s="162">
        <v>55</v>
      </c>
      <c r="I44" s="101">
        <f>SUM(I40:I43)</f>
        <v>79</v>
      </c>
      <c r="J44" s="205">
        <f>SUM(J40:J43)</f>
        <v>88</v>
      </c>
      <c r="K44" s="79">
        <f>SUM(K40:K43)</f>
        <v>44</v>
      </c>
      <c r="L44" s="209">
        <v>35</v>
      </c>
      <c r="M44" s="102">
        <f>SUM(M40:M43)</f>
        <v>60</v>
      </c>
      <c r="N44" s="102">
        <f>SUM(N40:N43)</f>
        <v>46</v>
      </c>
      <c r="O44" s="208">
        <v>35</v>
      </c>
      <c r="P44" s="102">
        <f>SUM(P40:P43)</f>
        <v>74</v>
      </c>
      <c r="Q44" s="102">
        <f>SUM(Q40:Q43)</f>
        <v>73</v>
      </c>
      <c r="R44" s="102">
        <f>SUM(R40:R43)</f>
        <v>75</v>
      </c>
      <c r="S44" s="210">
        <v>35</v>
      </c>
      <c r="T44" s="101">
        <f>SUM(T40:T43)</f>
        <v>54</v>
      </c>
      <c r="U44" s="101">
        <f>SUM(U40:U43)</f>
        <v>57</v>
      </c>
      <c r="V44" s="102">
        <f>SUM(V40:V43)</f>
        <v>77</v>
      </c>
      <c r="W44" s="100">
        <v>20</v>
      </c>
      <c r="X44" s="103">
        <f>SUM(X40:X43)</f>
        <v>13</v>
      </c>
      <c r="Y44" s="35">
        <f>SUM(Y40:Y43)</f>
        <v>7</v>
      </c>
      <c r="Z44" s="101">
        <f>SUM(Z40:Z43)</f>
        <v>35</v>
      </c>
      <c r="AA44" s="101">
        <f>SUM(AA40:AA43)</f>
        <v>9</v>
      </c>
      <c r="AB44" s="135">
        <v>0</v>
      </c>
      <c r="AC44" s="151">
        <f>SUM(AC40:AC43)</f>
        <v>1</v>
      </c>
      <c r="AD44" s="74">
        <f>SUM(AD40:AD43)</f>
        <v>0</v>
      </c>
      <c r="AE44" s="151">
        <v>0</v>
      </c>
    </row>
    <row r="45" spans="1:31" s="4" customFormat="1" ht="18" customHeight="1" thickBot="1">
      <c r="A45" s="27" t="s">
        <v>73</v>
      </c>
      <c r="B45" s="29">
        <f>SUM(B19+B26+B27+B28+B29+B38+B44)</f>
        <v>1153</v>
      </c>
      <c r="C45" s="37">
        <v>800</v>
      </c>
      <c r="D45" s="161">
        <v>1485</v>
      </c>
      <c r="E45" s="148">
        <f>SUM(E19+E26+E27+E28+E29+E38+E44)</f>
        <v>1410</v>
      </c>
      <c r="F45" s="77">
        <f>SUM(F19+F26+F27+F28+F29+F38+F44)</f>
        <v>1950</v>
      </c>
      <c r="G45" s="77">
        <f>SUM(G19+G26+G27+G28+G29+G38+G44)</f>
        <v>1487</v>
      </c>
      <c r="H45" s="161">
        <v>1215</v>
      </c>
      <c r="I45" s="101">
        <f>SUM(I19+I26+I27+I28+I29+I38+I44)</f>
        <v>1008</v>
      </c>
      <c r="J45" s="205">
        <f>SUM(J19+J26+J27+J28+J29+J38+J44)</f>
        <v>1001</v>
      </c>
      <c r="K45" s="73">
        <f t="shared" ref="K45" si="1">SUM(K19+K26+K27+K28+K29+K38+K44)</f>
        <v>1021</v>
      </c>
      <c r="L45" s="74">
        <v>805</v>
      </c>
      <c r="M45" s="73">
        <f>SUM(M19+M26+M27+M28+M29+M38+M44)</f>
        <v>831</v>
      </c>
      <c r="N45" s="105">
        <f t="shared" ref="N45" si="2">SUM(N19+N26+N27+N28+N29+N38+N44)</f>
        <v>844</v>
      </c>
      <c r="O45" s="122">
        <v>805</v>
      </c>
      <c r="P45" s="73">
        <f>SUM(P19+P26+P27+P28+P29+P38+P44)</f>
        <v>791</v>
      </c>
      <c r="Q45" s="73">
        <f>SUM(Q19+Q26+Q27+Q28+Q29+Q38+Q44)</f>
        <v>823</v>
      </c>
      <c r="R45" s="106">
        <f>SUM(R19+R26+R27+R28+R29+R38+R44)</f>
        <v>1121</v>
      </c>
      <c r="S45" s="93">
        <v>665</v>
      </c>
      <c r="T45" s="73">
        <f>SUM(T19,T26,T27,T28,T29,T38,T44)</f>
        <v>618</v>
      </c>
      <c r="U45" s="73">
        <f t="shared" ref="U45:V45" si="3">SUM(U19,U26,U27,U28,U29,U38,U44)</f>
        <v>677</v>
      </c>
      <c r="V45" s="73">
        <f t="shared" si="3"/>
        <v>801</v>
      </c>
      <c r="W45" s="100">
        <v>317</v>
      </c>
      <c r="X45" s="107">
        <f>SUM(X19+X26+X27+X28+X29+X38+X44)</f>
        <v>313</v>
      </c>
      <c r="Y45" s="73">
        <f>SUM(Y19+Y26+Y27+Y28+Y29+Y38+Y44)</f>
        <v>353</v>
      </c>
      <c r="Z45" s="73">
        <f>SUM(Z19+Z26+Z27+Z28+Z29+Z38+Z44)</f>
        <v>269</v>
      </c>
      <c r="AA45" s="73">
        <f>SUM(AA19+AA26+AA27+AA28+AA29+AA38+AA44)</f>
        <v>296</v>
      </c>
      <c r="AB45" s="101">
        <v>58</v>
      </c>
      <c r="AC45" s="75">
        <f>SUM(AC19+AC26+AC27+AC28+AC29+AC38+AC44)</f>
        <v>143</v>
      </c>
      <c r="AD45" s="74">
        <f>SUM(AD19+AD26+AD27+AD28+AD29+AD38+AD44)</f>
        <v>119</v>
      </c>
      <c r="AE45" s="75">
        <f>SUM(AE19+AE26+AE27+AE28+AE29+AE38+AE44)</f>
        <v>54</v>
      </c>
    </row>
    <row r="46" spans="1:31" s="30" customFormat="1" ht="16.5" customHeight="1" thickBot="1">
      <c r="A46" s="109" t="s">
        <v>74</v>
      </c>
      <c r="B46" s="111">
        <v>400</v>
      </c>
      <c r="C46" s="39">
        <v>80</v>
      </c>
      <c r="D46" s="160">
        <v>200</v>
      </c>
      <c r="E46" s="108">
        <v>252</v>
      </c>
      <c r="F46" s="108">
        <v>454</v>
      </c>
      <c r="G46" s="108">
        <v>310</v>
      </c>
      <c r="H46" s="159">
        <v>100</v>
      </c>
      <c r="I46" s="31">
        <v>133</v>
      </c>
      <c r="J46" s="79">
        <v>200</v>
      </c>
      <c r="K46" s="108">
        <v>139</v>
      </c>
      <c r="L46" s="108">
        <v>60</v>
      </c>
      <c r="M46" s="108">
        <v>118</v>
      </c>
      <c r="N46" s="108">
        <v>89</v>
      </c>
      <c r="O46" s="108">
        <v>60</v>
      </c>
      <c r="P46" s="108">
        <v>94</v>
      </c>
      <c r="Q46" s="73">
        <v>44</v>
      </c>
      <c r="R46" s="108">
        <v>117</v>
      </c>
      <c r="S46" s="158">
        <v>50</v>
      </c>
      <c r="T46" s="108">
        <v>92</v>
      </c>
      <c r="U46" s="108">
        <v>77</v>
      </c>
      <c r="V46" s="108">
        <v>98</v>
      </c>
      <c r="W46" s="129">
        <v>20</v>
      </c>
      <c r="X46" s="108">
        <v>6</v>
      </c>
      <c r="Y46" s="108">
        <v>83</v>
      </c>
      <c r="Z46" s="108">
        <v>6</v>
      </c>
      <c r="AA46" s="108">
        <v>43</v>
      </c>
      <c r="AB46" s="133">
        <v>0</v>
      </c>
      <c r="AC46" s="108">
        <v>20</v>
      </c>
      <c r="AD46" s="76">
        <v>11</v>
      </c>
      <c r="AE46" s="108">
        <v>7</v>
      </c>
    </row>
    <row r="47" spans="1:31" s="49" customFormat="1">
      <c r="A47" s="256" t="s">
        <v>75</v>
      </c>
      <c r="B47" s="257"/>
      <c r="C47" s="257"/>
      <c r="D47" s="52"/>
      <c r="E47" s="51"/>
      <c r="F47" s="51"/>
      <c r="G47" s="51"/>
      <c r="H47" s="258"/>
      <c r="I47" s="54"/>
      <c r="J47" s="54"/>
      <c r="K47" s="54"/>
      <c r="L47" s="257"/>
      <c r="M47" s="54"/>
      <c r="N47" s="54"/>
      <c r="O47" s="51"/>
      <c r="P47" s="54"/>
      <c r="Q47" s="52"/>
      <c r="R47" s="53"/>
      <c r="S47" s="54"/>
      <c r="T47" s="52"/>
      <c r="U47" s="52"/>
      <c r="V47" s="52"/>
      <c r="W47" s="54"/>
      <c r="X47" s="52"/>
      <c r="Y47" s="52"/>
      <c r="Z47" s="258"/>
      <c r="AA47" s="258"/>
      <c r="AB47" s="53"/>
      <c r="AC47" s="258"/>
      <c r="AD47" s="258"/>
      <c r="AE47" s="257"/>
    </row>
    <row r="48" spans="1:31" s="49" customFormat="1">
      <c r="A48" s="56" t="s">
        <v>76</v>
      </c>
      <c r="B48" s="55"/>
      <c r="C48" s="257"/>
      <c r="D48" s="52"/>
      <c r="E48" s="51"/>
      <c r="F48" s="51"/>
      <c r="G48" s="51"/>
      <c r="H48" s="258"/>
      <c r="I48" s="50"/>
      <c r="J48" s="50"/>
      <c r="K48" s="54"/>
      <c r="L48" s="257"/>
      <c r="M48" s="54"/>
      <c r="N48" s="54"/>
      <c r="O48" s="51"/>
      <c r="P48" s="54"/>
      <c r="Q48" s="52"/>
      <c r="R48" s="53"/>
      <c r="S48" s="50"/>
      <c r="T48" s="52"/>
      <c r="U48" s="52"/>
      <c r="V48" s="52"/>
      <c r="W48" s="50"/>
      <c r="X48" s="52"/>
      <c r="Y48" s="52"/>
      <c r="Z48" s="258"/>
      <c r="AA48" s="258"/>
      <c r="AB48" s="53"/>
      <c r="AC48" s="258"/>
      <c r="AD48" s="258"/>
      <c r="AE48" s="257"/>
    </row>
  </sheetData>
  <mergeCells count="17">
    <mergeCell ref="AC8:AD8"/>
    <mergeCell ref="P5:R5"/>
    <mergeCell ref="T5:V5"/>
    <mergeCell ref="X5:AA5"/>
    <mergeCell ref="AC5:AD5"/>
    <mergeCell ref="P7:R7"/>
    <mergeCell ref="T7:V7"/>
    <mergeCell ref="X7:AA8"/>
    <mergeCell ref="AC7:AD7"/>
    <mergeCell ref="P8:R8"/>
    <mergeCell ref="T8:V8"/>
    <mergeCell ref="I5:J5"/>
    <mergeCell ref="A1:C1"/>
    <mergeCell ref="A2:C2"/>
    <mergeCell ref="A3:C3"/>
    <mergeCell ref="A4:C4"/>
    <mergeCell ref="E5:G5"/>
  </mergeCells>
  <conditionalFormatting sqref="E9:G19 P9:R19 T9:V19 E21:G29 P21:R29 T21:V29 E31:G38 P31:R38 T31:V38 E40:G46 P40:R46 T40:V46">
    <cfRule type="expression" dxfId="56" priority="10">
      <formula>AND($C9&lt;=E9, $B9&gt;E9)</formula>
    </cfRule>
    <cfRule type="expression" dxfId="55" priority="11">
      <formula>($B9&lt;=E9)</formula>
    </cfRule>
    <cfRule type="expression" dxfId="54" priority="12">
      <formula>$C9&gt;E9</formula>
    </cfRule>
  </conditionalFormatting>
  <conditionalFormatting sqref="I9:K19 M9:N19 I21:K29 M21:N29 I31:K38 M31:N38 I40:K46 M40:N46">
    <cfRule type="expression" dxfId="53" priority="7">
      <formula>AND($C9&lt;=I9, $B9&gt;I9)</formula>
    </cfRule>
    <cfRule type="expression" dxfId="52" priority="8">
      <formula>($B9&lt;=I9)</formula>
    </cfRule>
    <cfRule type="expression" dxfId="51" priority="9">
      <formula>$C9&gt;I9</formula>
    </cfRule>
  </conditionalFormatting>
  <conditionalFormatting sqref="X9:AA19 X21:AA29 X31:AA38 X40:AA46">
    <cfRule type="expression" dxfId="50" priority="4">
      <formula>AND($C9&lt;=X9, $B9&gt;X9)</formula>
    </cfRule>
    <cfRule type="expression" dxfId="49" priority="5">
      <formula>($B9&lt;=X9)</formula>
    </cfRule>
    <cfRule type="expression" dxfId="48" priority="6">
      <formula>$C9&gt;X9</formula>
    </cfRule>
  </conditionalFormatting>
  <conditionalFormatting sqref="AC9:AE19 AC21:AE29 AC31:AE38 AC40:AE46">
    <cfRule type="expression" dxfId="47" priority="1">
      <formula>AND($C9&lt;=AC9, $B9&gt;AC9)</formula>
    </cfRule>
    <cfRule type="expression" dxfId="46" priority="2">
      <formula>($B9&lt;=AC9)</formula>
    </cfRule>
    <cfRule type="expression" dxfId="45" priority="3">
      <formula>$C9&gt;AC9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E42F-70FB-42EC-A49A-B656217E7E73}">
  <dimension ref="A1:AE48"/>
  <sheetViews>
    <sheetView zoomScale="85" zoomScaleNormal="85" workbookViewId="0">
      <pane xSplit="3" ySplit="4" topLeftCell="D17" activePane="bottomRight" state="frozen"/>
      <selection pane="bottomRight" activeCell="E9" sqref="E9:E46"/>
      <selection pane="bottomLeft" activeCell="A5" sqref="A5"/>
      <selection pane="topRight" activeCell="D1" sqref="D1"/>
    </sheetView>
  </sheetViews>
  <sheetFormatPr defaultColWidth="11" defaultRowHeight="15.6"/>
  <cols>
    <col min="1" max="1" width="46.875" customWidth="1"/>
    <col min="2" max="2" width="11.375" style="13" customWidth="1"/>
    <col min="3" max="3" width="13.375" style="13" customWidth="1"/>
    <col min="4" max="4" width="12.5" customWidth="1"/>
    <col min="8" max="8" width="12.125" customWidth="1"/>
    <col min="9" max="9" width="10.75" customWidth="1"/>
    <col min="11" max="11" width="11.875" customWidth="1"/>
    <col min="12" max="12" width="12.875" hidden="1" customWidth="1"/>
    <col min="13" max="14" width="0" hidden="1" customWidth="1"/>
    <col min="15" max="15" width="12.5" customWidth="1"/>
    <col min="19" max="19" width="13.125" customWidth="1"/>
    <col min="23" max="23" width="13.125" customWidth="1"/>
    <col min="28" max="28" width="11.625" customWidth="1"/>
  </cols>
  <sheetData>
    <row r="1" spans="1:31" ht="17.45">
      <c r="A1" s="271" t="s">
        <v>0</v>
      </c>
      <c r="B1" s="271"/>
      <c r="C1" s="277"/>
    </row>
    <row r="2" spans="1:31">
      <c r="A2" s="272" t="s">
        <v>77</v>
      </c>
      <c r="B2" s="272"/>
      <c r="C2" s="277"/>
    </row>
    <row r="3" spans="1:31">
      <c r="A3" s="272" t="s">
        <v>2</v>
      </c>
      <c r="B3" s="272"/>
      <c r="C3" s="277"/>
      <c r="I3" s="211"/>
    </row>
    <row r="4" spans="1:31" ht="12" customHeight="1" thickBot="1">
      <c r="A4" s="273">
        <v>45933</v>
      </c>
      <c r="B4" s="274"/>
      <c r="C4" s="278"/>
      <c r="F4" s="225"/>
      <c r="T4" s="226"/>
    </row>
    <row r="5" spans="1:31" ht="16.149999999999999" thickBot="1">
      <c r="A5" s="215"/>
      <c r="B5" s="9"/>
      <c r="D5" s="229" t="s">
        <v>3</v>
      </c>
      <c r="E5" s="275"/>
      <c r="F5" s="276"/>
      <c r="G5" s="276"/>
      <c r="H5" s="232" t="s">
        <v>4</v>
      </c>
      <c r="I5" s="269"/>
      <c r="J5" s="270"/>
      <c r="K5" s="233"/>
      <c r="L5" s="126" t="s">
        <v>5</v>
      </c>
      <c r="M5" s="220"/>
      <c r="N5" s="221"/>
      <c r="O5" s="126" t="s">
        <v>6</v>
      </c>
      <c r="P5" s="260"/>
      <c r="Q5" s="261"/>
      <c r="R5" s="262"/>
      <c r="S5" s="218" t="s">
        <v>7</v>
      </c>
      <c r="T5" s="263"/>
      <c r="U5" s="264"/>
      <c r="V5" s="265"/>
      <c r="W5" s="241" t="s">
        <v>8</v>
      </c>
      <c r="X5" s="266"/>
      <c r="Y5" s="267"/>
      <c r="Z5" s="267"/>
      <c r="AA5" s="267"/>
      <c r="AB5" s="121" t="s">
        <v>9</v>
      </c>
      <c r="AC5" s="287"/>
      <c r="AD5" s="288"/>
      <c r="AE5" s="216"/>
    </row>
    <row r="6" spans="1:31" ht="18" customHeight="1" thickBot="1">
      <c r="B6" s="10" t="s">
        <v>10</v>
      </c>
      <c r="C6" s="14"/>
      <c r="D6" s="156" t="s">
        <v>11</v>
      </c>
      <c r="E6" s="18" t="s">
        <v>78</v>
      </c>
      <c r="F6" s="19" t="s">
        <v>79</v>
      </c>
      <c r="G6" s="20" t="s">
        <v>80</v>
      </c>
      <c r="H6" s="156" t="s">
        <v>11</v>
      </c>
      <c r="I6" s="5" t="s">
        <v>81</v>
      </c>
      <c r="J6" s="7" t="s">
        <v>82</v>
      </c>
      <c r="K6" s="236" t="s">
        <v>83</v>
      </c>
      <c r="L6" s="156" t="s">
        <v>11</v>
      </c>
      <c r="M6" s="222" t="s">
        <v>18</v>
      </c>
      <c r="N6" s="223" t="s">
        <v>19</v>
      </c>
      <c r="O6" s="237" t="s">
        <v>11</v>
      </c>
      <c r="P6" s="8" t="s">
        <v>84</v>
      </c>
      <c r="Q6" s="6" t="s">
        <v>85</v>
      </c>
      <c r="R6" s="7" t="s">
        <v>86</v>
      </c>
      <c r="S6" s="238" t="s">
        <v>11</v>
      </c>
      <c r="T6" s="8" t="s">
        <v>87</v>
      </c>
      <c r="U6" s="6" t="s">
        <v>88</v>
      </c>
      <c r="V6" s="7" t="s">
        <v>89</v>
      </c>
      <c r="W6" s="237" t="s">
        <v>11</v>
      </c>
      <c r="X6" s="8" t="s">
        <v>90</v>
      </c>
      <c r="Y6" s="6" t="s">
        <v>91</v>
      </c>
      <c r="Z6" s="17" t="s">
        <v>92</v>
      </c>
      <c r="AA6" s="17" t="s">
        <v>93</v>
      </c>
      <c r="AB6" s="156" t="s">
        <v>11</v>
      </c>
      <c r="AC6" s="8" t="s">
        <v>94</v>
      </c>
      <c r="AD6" s="7" t="s">
        <v>95</v>
      </c>
      <c r="AE6" s="212" t="s">
        <v>29</v>
      </c>
    </row>
    <row r="7" spans="1:31" ht="18" customHeight="1" thickTop="1" thickBot="1">
      <c r="A7" s="1" t="s">
        <v>32</v>
      </c>
      <c r="B7" s="11" t="s">
        <v>33</v>
      </c>
      <c r="C7" s="38" t="s">
        <v>34</v>
      </c>
      <c r="D7" s="227" t="s">
        <v>35</v>
      </c>
      <c r="E7" s="40"/>
      <c r="F7" s="41"/>
      <c r="G7" s="41"/>
      <c r="H7" s="230" t="s">
        <v>35</v>
      </c>
      <c r="I7" s="234"/>
      <c r="J7" s="234"/>
      <c r="K7" s="243"/>
      <c r="L7" s="157" t="s">
        <v>35</v>
      </c>
      <c r="M7" s="220"/>
      <c r="N7" s="220"/>
      <c r="O7" s="157" t="s">
        <v>35</v>
      </c>
      <c r="P7" s="279"/>
      <c r="Q7" s="279"/>
      <c r="R7" s="280"/>
      <c r="S7" s="217" t="s">
        <v>35</v>
      </c>
      <c r="T7" s="281"/>
      <c r="U7" s="281"/>
      <c r="V7" s="282"/>
      <c r="W7" s="239" t="s">
        <v>35</v>
      </c>
      <c r="X7" s="268"/>
      <c r="Y7" s="268"/>
      <c r="Z7" s="268"/>
      <c r="AA7" s="268"/>
      <c r="AB7" s="242" t="s">
        <v>35</v>
      </c>
      <c r="AC7" s="289"/>
      <c r="AD7" s="289"/>
      <c r="AE7" s="214"/>
    </row>
    <row r="8" spans="1:31" ht="18" customHeight="1" thickBot="1">
      <c r="A8" s="21" t="s">
        <v>36</v>
      </c>
      <c r="B8" s="12"/>
      <c r="C8" s="2"/>
      <c r="D8" s="228"/>
      <c r="E8" s="42"/>
      <c r="F8" s="43"/>
      <c r="G8" s="43"/>
      <c r="H8" s="231"/>
      <c r="I8" s="235"/>
      <c r="J8" s="235"/>
      <c r="K8" s="244"/>
      <c r="L8" s="178"/>
      <c r="M8" s="224"/>
      <c r="N8" s="224"/>
      <c r="O8" s="178"/>
      <c r="P8" s="283"/>
      <c r="Q8" s="283"/>
      <c r="R8" s="284"/>
      <c r="S8" s="219"/>
      <c r="T8" s="285"/>
      <c r="U8" s="285"/>
      <c r="V8" s="286"/>
      <c r="W8" s="240"/>
      <c r="X8" s="268"/>
      <c r="Y8" s="268"/>
      <c r="Z8" s="268"/>
      <c r="AA8" s="268"/>
      <c r="AB8" s="213"/>
      <c r="AC8" s="290"/>
      <c r="AD8" s="290"/>
      <c r="AE8" s="213"/>
    </row>
    <row r="9" spans="1:31" ht="18" customHeight="1">
      <c r="A9" s="24" t="s">
        <v>37</v>
      </c>
      <c r="B9" s="3">
        <v>130</v>
      </c>
      <c r="C9" s="15">
        <v>60</v>
      </c>
      <c r="D9" s="196">
        <v>300</v>
      </c>
      <c r="E9" s="61">
        <v>237</v>
      </c>
      <c r="F9" s="62">
        <v>240</v>
      </c>
      <c r="G9" s="62">
        <v>268</v>
      </c>
      <c r="H9" s="177">
        <v>200</v>
      </c>
      <c r="I9" s="31">
        <v>131</v>
      </c>
      <c r="J9" s="31">
        <v>90</v>
      </c>
      <c r="K9" s="57">
        <v>102</v>
      </c>
      <c r="L9" s="59">
        <v>100</v>
      </c>
      <c r="M9" s="58">
        <v>135</v>
      </c>
      <c r="N9" s="58">
        <v>85</v>
      </c>
      <c r="O9" s="115">
        <v>100</v>
      </c>
      <c r="P9" s="58">
        <v>57</v>
      </c>
      <c r="Q9" s="59">
        <v>78</v>
      </c>
      <c r="R9" s="59">
        <v>116</v>
      </c>
      <c r="S9" s="186">
        <v>80</v>
      </c>
      <c r="T9" s="59">
        <v>74</v>
      </c>
      <c r="U9" s="59">
        <v>61</v>
      </c>
      <c r="V9" s="59">
        <v>92</v>
      </c>
      <c r="W9" s="123">
        <v>30</v>
      </c>
      <c r="X9" s="59">
        <v>13</v>
      </c>
      <c r="Y9" s="59">
        <v>56</v>
      </c>
      <c r="Z9" s="36">
        <v>16</v>
      </c>
      <c r="AA9" s="36">
        <v>20</v>
      </c>
      <c r="AB9" s="64">
        <v>0</v>
      </c>
      <c r="AC9" s="60">
        <v>1</v>
      </c>
      <c r="AD9" s="36">
        <v>2</v>
      </c>
      <c r="AE9" s="60">
        <v>11</v>
      </c>
    </row>
    <row r="10" spans="1:31" ht="18" customHeight="1">
      <c r="A10" s="24" t="s">
        <v>38</v>
      </c>
      <c r="B10" s="3">
        <v>27</v>
      </c>
      <c r="C10" s="15">
        <v>20</v>
      </c>
      <c r="D10" s="196">
        <v>35</v>
      </c>
      <c r="E10" s="68">
        <v>41</v>
      </c>
      <c r="F10" s="69">
        <v>49</v>
      </c>
      <c r="G10" s="69">
        <v>53</v>
      </c>
      <c r="H10" s="172">
        <v>30</v>
      </c>
      <c r="I10" s="31">
        <v>31</v>
      </c>
      <c r="J10" s="31">
        <v>38</v>
      </c>
      <c r="K10" s="64">
        <v>38</v>
      </c>
      <c r="L10" s="65">
        <v>20</v>
      </c>
      <c r="M10" s="58">
        <v>46</v>
      </c>
      <c r="N10" s="58">
        <v>46</v>
      </c>
      <c r="O10" s="114">
        <v>20</v>
      </c>
      <c r="P10" s="58">
        <v>50</v>
      </c>
      <c r="Q10" s="59">
        <v>31</v>
      </c>
      <c r="R10" s="59">
        <v>48</v>
      </c>
      <c r="S10" s="187">
        <v>20</v>
      </c>
      <c r="T10" s="31">
        <v>40</v>
      </c>
      <c r="U10" s="59">
        <v>30</v>
      </c>
      <c r="V10" s="59">
        <v>29</v>
      </c>
      <c r="W10" s="124">
        <v>5</v>
      </c>
      <c r="X10" s="31">
        <v>3</v>
      </c>
      <c r="Y10" s="59">
        <v>27</v>
      </c>
      <c r="Z10" s="65">
        <v>4</v>
      </c>
      <c r="AA10" s="65">
        <v>3</v>
      </c>
      <c r="AB10" s="64">
        <v>0</v>
      </c>
      <c r="AC10" s="66">
        <v>2</v>
      </c>
      <c r="AD10" s="67">
        <v>0</v>
      </c>
      <c r="AE10" s="66">
        <v>7</v>
      </c>
    </row>
    <row r="11" spans="1:31" ht="18" customHeight="1">
      <c r="A11" s="24" t="s">
        <v>39</v>
      </c>
      <c r="B11" s="3">
        <v>107</v>
      </c>
      <c r="C11" s="15">
        <v>60</v>
      </c>
      <c r="D11" s="196">
        <v>175</v>
      </c>
      <c r="E11" s="68">
        <v>104</v>
      </c>
      <c r="F11" s="69">
        <v>115</v>
      </c>
      <c r="G11" s="62">
        <v>89</v>
      </c>
      <c r="H11" s="168">
        <v>125</v>
      </c>
      <c r="I11" s="31">
        <v>57</v>
      </c>
      <c r="J11" s="31">
        <v>58</v>
      </c>
      <c r="K11" s="58">
        <v>68</v>
      </c>
      <c r="L11" s="59">
        <v>75</v>
      </c>
      <c r="M11" s="58">
        <v>57</v>
      </c>
      <c r="N11" s="58">
        <v>66</v>
      </c>
      <c r="O11" s="190">
        <v>75</v>
      </c>
      <c r="P11" s="58">
        <v>31</v>
      </c>
      <c r="Q11" s="59">
        <v>48</v>
      </c>
      <c r="R11" s="59">
        <v>66</v>
      </c>
      <c r="S11" s="145">
        <v>40</v>
      </c>
      <c r="T11" s="57">
        <v>34</v>
      </c>
      <c r="U11" s="59">
        <v>27</v>
      </c>
      <c r="V11" s="59">
        <v>54</v>
      </c>
      <c r="W11" s="62">
        <v>10</v>
      </c>
      <c r="X11" s="59">
        <v>2</v>
      </c>
      <c r="Y11" s="59">
        <v>12</v>
      </c>
      <c r="Z11" s="66">
        <v>7</v>
      </c>
      <c r="AA11" s="66">
        <v>9</v>
      </c>
      <c r="AB11" s="71">
        <v>5</v>
      </c>
      <c r="AC11" s="66">
        <v>1</v>
      </c>
      <c r="AD11" s="36">
        <v>1</v>
      </c>
      <c r="AE11" s="66">
        <v>0</v>
      </c>
    </row>
    <row r="12" spans="1:31" ht="18" customHeight="1">
      <c r="A12" s="25" t="s">
        <v>40</v>
      </c>
      <c r="B12" s="3">
        <v>34</v>
      </c>
      <c r="C12" s="15">
        <v>10</v>
      </c>
      <c r="D12" s="196">
        <v>45</v>
      </c>
      <c r="E12" s="68">
        <v>20</v>
      </c>
      <c r="F12" s="69">
        <v>28</v>
      </c>
      <c r="G12" s="62">
        <v>10</v>
      </c>
      <c r="H12" s="177">
        <v>35</v>
      </c>
      <c r="I12" s="31">
        <v>6</v>
      </c>
      <c r="J12" s="31">
        <v>4</v>
      </c>
      <c r="K12" s="71">
        <v>6</v>
      </c>
      <c r="L12" s="59">
        <v>15</v>
      </c>
      <c r="M12" s="58">
        <v>13</v>
      </c>
      <c r="N12" s="58">
        <v>9</v>
      </c>
      <c r="O12" s="66">
        <v>15</v>
      </c>
      <c r="P12" s="58">
        <v>6</v>
      </c>
      <c r="Q12" s="59">
        <v>5</v>
      </c>
      <c r="R12" s="59">
        <v>21</v>
      </c>
      <c r="S12" s="188">
        <v>10</v>
      </c>
      <c r="T12" s="59">
        <v>10</v>
      </c>
      <c r="U12" s="59">
        <v>4</v>
      </c>
      <c r="V12" s="59">
        <v>13</v>
      </c>
      <c r="W12" s="62">
        <v>5</v>
      </c>
      <c r="X12" s="59">
        <v>0</v>
      </c>
      <c r="Y12" s="33">
        <v>0</v>
      </c>
      <c r="Z12" s="66">
        <v>4</v>
      </c>
      <c r="AA12" s="66">
        <v>0</v>
      </c>
      <c r="AB12" s="71">
        <v>0</v>
      </c>
      <c r="AC12" s="66">
        <v>2</v>
      </c>
      <c r="AD12" s="36">
        <v>1</v>
      </c>
      <c r="AE12" s="66">
        <v>0</v>
      </c>
    </row>
    <row r="13" spans="1:31" ht="18" customHeight="1" thickBot="1">
      <c r="A13" s="26" t="s">
        <v>41</v>
      </c>
      <c r="B13" s="3">
        <v>31</v>
      </c>
      <c r="C13" s="15">
        <v>10</v>
      </c>
      <c r="D13" s="196">
        <v>25</v>
      </c>
      <c r="E13" s="61">
        <v>43</v>
      </c>
      <c r="F13" s="62">
        <v>69</v>
      </c>
      <c r="G13" s="62">
        <v>56</v>
      </c>
      <c r="H13" s="177">
        <v>25</v>
      </c>
      <c r="I13" s="31">
        <v>22</v>
      </c>
      <c r="J13" s="67">
        <v>18</v>
      </c>
      <c r="K13" s="71">
        <v>15</v>
      </c>
      <c r="L13" s="79">
        <v>20</v>
      </c>
      <c r="M13" s="58">
        <v>14</v>
      </c>
      <c r="N13" s="58">
        <v>16</v>
      </c>
      <c r="O13" s="60">
        <v>20</v>
      </c>
      <c r="P13" s="58">
        <v>21</v>
      </c>
      <c r="Q13" s="59">
        <v>4</v>
      </c>
      <c r="R13" s="59">
        <v>83</v>
      </c>
      <c r="S13" s="145">
        <v>20</v>
      </c>
      <c r="T13" s="59">
        <v>37</v>
      </c>
      <c r="U13" s="59">
        <v>30</v>
      </c>
      <c r="V13" s="59">
        <v>25</v>
      </c>
      <c r="W13" s="181">
        <v>10</v>
      </c>
      <c r="X13" s="59">
        <v>18</v>
      </c>
      <c r="Y13" s="33">
        <v>19</v>
      </c>
      <c r="Z13" s="66">
        <v>27</v>
      </c>
      <c r="AA13" s="66">
        <v>15</v>
      </c>
      <c r="AB13" s="31">
        <v>0</v>
      </c>
      <c r="AC13" s="60">
        <v>12</v>
      </c>
      <c r="AD13" s="36">
        <v>21</v>
      </c>
      <c r="AE13" s="60">
        <v>1</v>
      </c>
    </row>
    <row r="14" spans="1:31" s="4" customFormat="1" ht="18" customHeight="1" thickBot="1">
      <c r="A14" s="27" t="s">
        <v>42</v>
      </c>
      <c r="B14" s="29">
        <v>65</v>
      </c>
      <c r="C14" s="37">
        <v>60</v>
      </c>
      <c r="D14" s="197">
        <v>70</v>
      </c>
      <c r="E14" s="76">
        <f>SUM(E12:E13)</f>
        <v>63</v>
      </c>
      <c r="F14" s="77">
        <f>SUM(F12:F13)</f>
        <v>97</v>
      </c>
      <c r="G14" s="77">
        <f>SUM(G12:G13)</f>
        <v>66</v>
      </c>
      <c r="H14" s="206">
        <v>60</v>
      </c>
      <c r="I14" s="101">
        <f>SUM(I12:I13)</f>
        <v>28</v>
      </c>
      <c r="J14" s="96">
        <f>SUM(J12+J13)</f>
        <v>22</v>
      </c>
      <c r="K14" s="137">
        <f>SUM(K12:K13)</f>
        <v>21</v>
      </c>
      <c r="L14" s="101">
        <v>35</v>
      </c>
      <c r="M14" s="245">
        <f>SUM(M12:M13)</f>
        <v>27</v>
      </c>
      <c r="N14" s="245">
        <f>SUM(N12:N13)</f>
        <v>25</v>
      </c>
      <c r="O14" s="120">
        <v>35</v>
      </c>
      <c r="P14" s="246">
        <f>SUM(P12:P13)</f>
        <v>27</v>
      </c>
      <c r="Q14" s="246">
        <f>SUM(Q12:Q13)</f>
        <v>9</v>
      </c>
      <c r="R14" s="246">
        <f>SUM(R12:R13)</f>
        <v>104</v>
      </c>
      <c r="S14" s="146">
        <v>30</v>
      </c>
      <c r="T14" s="246">
        <f>SUM(T12+T13)</f>
        <v>47</v>
      </c>
      <c r="U14" s="73">
        <f>U12+U13</f>
        <v>34</v>
      </c>
      <c r="V14" s="247">
        <f>SUM(V12:V13)</f>
        <v>38</v>
      </c>
      <c r="W14" s="125">
        <v>15</v>
      </c>
      <c r="X14" s="31">
        <f>SUM(X12:X13)</f>
        <v>18</v>
      </c>
      <c r="Y14" s="73">
        <f>SUM(Y12:Y13)</f>
        <v>19</v>
      </c>
      <c r="Z14" s="74">
        <f>SUM(Z12:Z13)</f>
        <v>31</v>
      </c>
      <c r="AA14" s="74">
        <f>SUM(AA12:AA13)</f>
        <v>15</v>
      </c>
      <c r="AB14" s="101">
        <v>0</v>
      </c>
      <c r="AC14" s="75">
        <f>SUM(AC12:AC13)</f>
        <v>14</v>
      </c>
      <c r="AD14" s="74">
        <f>SUM(AD12:AD13)</f>
        <v>22</v>
      </c>
      <c r="AE14" s="75">
        <f>SUM(AE12:AE13)</f>
        <v>1</v>
      </c>
    </row>
    <row r="15" spans="1:31" ht="18" customHeight="1">
      <c r="A15" s="24" t="s">
        <v>43</v>
      </c>
      <c r="B15" s="3">
        <v>62</v>
      </c>
      <c r="C15" s="15">
        <v>20</v>
      </c>
      <c r="D15" s="179">
        <v>100</v>
      </c>
      <c r="E15" s="68">
        <v>98</v>
      </c>
      <c r="F15" s="69">
        <v>120</v>
      </c>
      <c r="G15" s="69">
        <v>80</v>
      </c>
      <c r="H15" s="177">
        <v>80</v>
      </c>
      <c r="I15" s="31">
        <v>59</v>
      </c>
      <c r="J15" s="79">
        <v>67</v>
      </c>
      <c r="K15" s="57">
        <v>79</v>
      </c>
      <c r="L15" s="59">
        <v>50</v>
      </c>
      <c r="M15" s="58">
        <v>69</v>
      </c>
      <c r="N15" s="58">
        <v>63</v>
      </c>
      <c r="O15" s="143">
        <v>50</v>
      </c>
      <c r="P15" s="71">
        <v>27</v>
      </c>
      <c r="Q15" s="59">
        <v>68</v>
      </c>
      <c r="R15" s="59">
        <v>62</v>
      </c>
      <c r="S15" s="187">
        <v>40</v>
      </c>
      <c r="T15" s="59">
        <v>25</v>
      </c>
      <c r="U15" s="59">
        <v>33</v>
      </c>
      <c r="V15" s="59">
        <v>53</v>
      </c>
      <c r="W15" s="124">
        <v>15</v>
      </c>
      <c r="X15" s="59">
        <v>11</v>
      </c>
      <c r="Y15" s="59">
        <v>31</v>
      </c>
      <c r="Z15" s="67">
        <v>8</v>
      </c>
      <c r="AA15" s="67">
        <v>12</v>
      </c>
      <c r="AB15" s="116">
        <v>3</v>
      </c>
      <c r="AC15" s="66">
        <v>4</v>
      </c>
      <c r="AD15" s="67">
        <v>3</v>
      </c>
      <c r="AE15" s="66">
        <v>2</v>
      </c>
    </row>
    <row r="16" spans="1:31" ht="18" customHeight="1">
      <c r="A16" s="24" t="s">
        <v>44</v>
      </c>
      <c r="B16" s="3">
        <v>22</v>
      </c>
      <c r="C16" s="15">
        <v>10</v>
      </c>
      <c r="D16" s="179">
        <v>20</v>
      </c>
      <c r="E16" s="68">
        <v>27</v>
      </c>
      <c r="F16" s="69">
        <v>35</v>
      </c>
      <c r="G16" s="69">
        <v>23</v>
      </c>
      <c r="H16" s="177">
        <v>15</v>
      </c>
      <c r="I16" s="31">
        <v>16</v>
      </c>
      <c r="J16" s="204">
        <v>26</v>
      </c>
      <c r="K16" s="57">
        <v>25</v>
      </c>
      <c r="L16" s="114">
        <v>10</v>
      </c>
      <c r="M16" s="58">
        <v>17</v>
      </c>
      <c r="N16" s="58">
        <v>13</v>
      </c>
      <c r="O16" s="144">
        <v>10</v>
      </c>
      <c r="P16" s="71">
        <v>15</v>
      </c>
      <c r="Q16" s="59">
        <v>16</v>
      </c>
      <c r="R16" s="59">
        <v>15</v>
      </c>
      <c r="S16" s="187">
        <v>10</v>
      </c>
      <c r="T16" s="79">
        <v>9</v>
      </c>
      <c r="U16" s="79">
        <v>11</v>
      </c>
      <c r="V16" s="59">
        <v>23</v>
      </c>
      <c r="W16" s="124">
        <v>2</v>
      </c>
      <c r="X16" s="57">
        <v>2</v>
      </c>
      <c r="Y16" s="67">
        <v>4</v>
      </c>
      <c r="Z16" s="67">
        <v>3</v>
      </c>
      <c r="AA16" s="67">
        <v>2</v>
      </c>
      <c r="AB16" s="133">
        <v>0</v>
      </c>
      <c r="AC16" s="66">
        <v>1</v>
      </c>
      <c r="AD16" s="67">
        <v>3</v>
      </c>
      <c r="AE16" s="66">
        <v>0</v>
      </c>
    </row>
    <row r="17" spans="1:31" ht="18" customHeight="1">
      <c r="A17" s="24" t="s">
        <v>45</v>
      </c>
      <c r="B17" s="3">
        <v>14</v>
      </c>
      <c r="C17" s="15">
        <v>10</v>
      </c>
      <c r="D17" s="170">
        <v>15</v>
      </c>
      <c r="E17" s="68">
        <v>13</v>
      </c>
      <c r="F17" s="69">
        <v>41</v>
      </c>
      <c r="G17" s="69">
        <v>23</v>
      </c>
      <c r="H17" s="176">
        <v>15</v>
      </c>
      <c r="I17" s="31">
        <v>17</v>
      </c>
      <c r="J17" s="57">
        <v>32</v>
      </c>
      <c r="K17" s="57">
        <v>16</v>
      </c>
      <c r="L17" s="67">
        <v>15</v>
      </c>
      <c r="M17" s="58">
        <v>20</v>
      </c>
      <c r="N17" s="79">
        <v>19</v>
      </c>
      <c r="O17" s="66">
        <v>15</v>
      </c>
      <c r="P17" s="104">
        <v>23</v>
      </c>
      <c r="Q17" s="31">
        <v>11</v>
      </c>
      <c r="R17" s="33">
        <v>4</v>
      </c>
      <c r="S17" s="187">
        <v>15</v>
      </c>
      <c r="T17" s="31">
        <v>3</v>
      </c>
      <c r="U17" s="79">
        <v>11</v>
      </c>
      <c r="V17" s="79">
        <v>10</v>
      </c>
      <c r="W17" s="182">
        <v>10</v>
      </c>
      <c r="X17" s="31">
        <v>1</v>
      </c>
      <c r="Y17" s="59">
        <v>0</v>
      </c>
      <c r="Z17" s="66">
        <v>2</v>
      </c>
      <c r="AA17" s="66">
        <v>2</v>
      </c>
      <c r="AB17" s="57">
        <v>0</v>
      </c>
      <c r="AC17" s="66">
        <v>0</v>
      </c>
      <c r="AD17" s="67">
        <v>0</v>
      </c>
      <c r="AE17" s="66">
        <v>0</v>
      </c>
    </row>
    <row r="18" spans="1:31" ht="18" customHeight="1" thickBot="1">
      <c r="A18" s="24" t="s">
        <v>46</v>
      </c>
      <c r="B18" s="3">
        <v>19</v>
      </c>
      <c r="C18" s="15">
        <v>10</v>
      </c>
      <c r="D18" s="179">
        <v>30</v>
      </c>
      <c r="E18" s="68">
        <v>30</v>
      </c>
      <c r="F18" s="69">
        <v>81</v>
      </c>
      <c r="G18" s="69">
        <v>27</v>
      </c>
      <c r="H18" s="170">
        <v>20</v>
      </c>
      <c r="I18" s="31">
        <v>23</v>
      </c>
      <c r="J18" s="204">
        <v>45</v>
      </c>
      <c r="K18" s="57">
        <v>13</v>
      </c>
      <c r="L18" s="59">
        <v>10</v>
      </c>
      <c r="M18" s="58">
        <v>13</v>
      </c>
      <c r="N18" s="58">
        <v>21</v>
      </c>
      <c r="O18" s="65">
        <v>10</v>
      </c>
      <c r="P18" s="71">
        <v>54</v>
      </c>
      <c r="Q18" s="79">
        <v>25</v>
      </c>
      <c r="R18" s="31">
        <v>24</v>
      </c>
      <c r="S18" s="187">
        <v>10</v>
      </c>
      <c r="T18" s="31">
        <v>3</v>
      </c>
      <c r="U18" s="79">
        <v>12</v>
      </c>
      <c r="V18" s="79">
        <v>22</v>
      </c>
      <c r="W18" s="124">
        <v>5</v>
      </c>
      <c r="X18" s="59">
        <v>2</v>
      </c>
      <c r="Y18" s="31">
        <v>0</v>
      </c>
      <c r="Z18" s="67">
        <v>2</v>
      </c>
      <c r="AA18" s="67">
        <v>4</v>
      </c>
      <c r="AB18" s="133">
        <v>0</v>
      </c>
      <c r="AC18" s="59">
        <v>0</v>
      </c>
      <c r="AD18" s="65">
        <v>0</v>
      </c>
      <c r="AE18" s="59">
        <v>0</v>
      </c>
    </row>
    <row r="19" spans="1:31" s="4" customFormat="1" ht="18" customHeight="1" thickBot="1">
      <c r="A19" s="27" t="s">
        <v>47</v>
      </c>
      <c r="B19" s="29">
        <f>SUM(B9+B10+B11+B12+B13+B15+B16+B17+B18)</f>
        <v>446</v>
      </c>
      <c r="C19" s="37">
        <v>300</v>
      </c>
      <c r="D19" s="198">
        <v>745</v>
      </c>
      <c r="E19" s="76">
        <f>SUM(E15:E18,E13,E12,E11,E10,E9)</f>
        <v>613</v>
      </c>
      <c r="F19" s="77">
        <f>SUM(F15:F18,F13,F12,F11,F10,F9)</f>
        <v>778</v>
      </c>
      <c r="G19" s="77">
        <f>SUM(G15:G18,G13,G12,G11,G10,G9)</f>
        <v>629</v>
      </c>
      <c r="H19" s="175">
        <v>545</v>
      </c>
      <c r="I19" s="101">
        <f>SUM(I15:I18,I13,I12,I11,I10,I9)</f>
        <v>362</v>
      </c>
      <c r="J19" s="73">
        <f>SUM(J9:J13,J15,J16,J17,J18)</f>
        <v>378</v>
      </c>
      <c r="K19" s="248">
        <f>SUM(K15:K18,K11,K10,K9,K12,K13)</f>
        <v>362</v>
      </c>
      <c r="L19" s="80">
        <v>315</v>
      </c>
      <c r="M19" s="248">
        <f>SUM(M15:M18,M13,M12,M11,M10,M9)</f>
        <v>384</v>
      </c>
      <c r="N19" s="248">
        <f>SUM(N15:N18,N13,N12,N11,N10,N9)</f>
        <v>338</v>
      </c>
      <c r="O19" s="191">
        <v>315</v>
      </c>
      <c r="P19" s="118">
        <f>SUM(P15:P18,P13,P12,P11,P10,P9)</f>
        <v>284</v>
      </c>
      <c r="Q19" s="81">
        <f>SUM(Q15:Q18,Q13,Q12,Q11,Q10,Q9)</f>
        <v>286</v>
      </c>
      <c r="R19" s="82">
        <f>SUM(R15:R18,R13,R12,R11,R10,R9)</f>
        <v>439</v>
      </c>
      <c r="S19" s="147">
        <v>245</v>
      </c>
      <c r="T19" s="81">
        <f>SUM(T9,T10,T11,T12,T13,T15,T16,T17,T18)</f>
        <v>235</v>
      </c>
      <c r="U19" s="81">
        <f t="shared" ref="U19:V19" si="0">SUM(U9,U10,U11,U12,U13,U15,U16,U17,U18)</f>
        <v>219</v>
      </c>
      <c r="V19" s="81">
        <f t="shared" si="0"/>
        <v>321</v>
      </c>
      <c r="W19" s="125">
        <v>92</v>
      </c>
      <c r="X19" s="73">
        <f>SUM(X15:X18,X13,X12,X11,X10,X9)</f>
        <v>52</v>
      </c>
      <c r="Y19" s="35">
        <f>SUM(Y15:Y18,Y13,Y12,Y11,Y10,Y9)</f>
        <v>149</v>
      </c>
      <c r="Z19" s="74">
        <f>SUM(Z15:Z18,Z13,Z12,Z11,Z10,Z9)</f>
        <v>73</v>
      </c>
      <c r="AA19" s="74">
        <f>SUM(AA15:AA18,AA13,AA12,AA11,AA10,AA9)</f>
        <v>67</v>
      </c>
      <c r="AB19" s="134">
        <v>8</v>
      </c>
      <c r="AC19" s="75">
        <f>SUM(AC15:AC18,AC13,AC12,AC11,AC10,AC9)</f>
        <v>23</v>
      </c>
      <c r="AD19" s="74">
        <f>SUM(AD15:AD18,AD13,AD12,AD11,AD10,AD9)</f>
        <v>31</v>
      </c>
      <c r="AE19" s="75">
        <f>SUM(AE15:AE18,AE13,AE12,AE11,AE10,AE9)</f>
        <v>21</v>
      </c>
    </row>
    <row r="20" spans="1:31" ht="18" customHeight="1" thickTop="1">
      <c r="A20" s="28" t="s">
        <v>48</v>
      </c>
      <c r="B20" s="31"/>
      <c r="C20" s="31"/>
      <c r="D20" s="174"/>
      <c r="E20" s="149"/>
      <c r="F20" s="62"/>
      <c r="G20" s="62"/>
      <c r="H20" s="171"/>
      <c r="I20" s="64"/>
      <c r="J20" s="96"/>
      <c r="K20" s="104"/>
      <c r="L20" s="115"/>
      <c r="M20" s="33"/>
      <c r="N20" s="36"/>
      <c r="O20" s="115"/>
      <c r="P20" s="155"/>
      <c r="Q20" s="115"/>
      <c r="R20" s="155"/>
      <c r="S20" s="150"/>
      <c r="T20" s="155"/>
      <c r="U20" s="104"/>
      <c r="V20" s="83"/>
      <c r="W20" s="140"/>
      <c r="X20" s="32"/>
      <c r="Y20" s="33"/>
      <c r="Z20" s="36"/>
      <c r="AA20" s="36"/>
      <c r="AB20" s="135"/>
      <c r="AC20" s="60"/>
      <c r="AD20" s="36"/>
      <c r="AE20" s="60"/>
    </row>
    <row r="21" spans="1:31" ht="17.45" customHeight="1">
      <c r="A21" s="24" t="s">
        <v>49</v>
      </c>
      <c r="B21" s="3">
        <v>64</v>
      </c>
      <c r="C21" s="15">
        <v>30</v>
      </c>
      <c r="D21" s="179">
        <v>50</v>
      </c>
      <c r="E21" s="68">
        <v>28</v>
      </c>
      <c r="F21" s="69">
        <v>32</v>
      </c>
      <c r="G21" s="69">
        <v>18</v>
      </c>
      <c r="H21" s="194">
        <v>40</v>
      </c>
      <c r="I21" s="31">
        <v>16</v>
      </c>
      <c r="J21" s="79">
        <v>13</v>
      </c>
      <c r="K21" s="57">
        <v>11</v>
      </c>
      <c r="L21" s="67">
        <v>20</v>
      </c>
      <c r="M21" s="79">
        <v>14</v>
      </c>
      <c r="N21" s="67">
        <v>18</v>
      </c>
      <c r="O21" s="141">
        <v>20</v>
      </c>
      <c r="P21" s="31">
        <v>3</v>
      </c>
      <c r="Q21" s="31">
        <v>6</v>
      </c>
      <c r="R21" s="84">
        <v>7</v>
      </c>
      <c r="S21" s="67">
        <v>20</v>
      </c>
      <c r="T21" s="31">
        <v>1</v>
      </c>
      <c r="U21" s="31">
        <v>5</v>
      </c>
      <c r="V21" s="79">
        <v>2</v>
      </c>
      <c r="W21" s="124">
        <v>5</v>
      </c>
      <c r="X21" s="31">
        <v>0</v>
      </c>
      <c r="Y21" s="31">
        <v>0</v>
      </c>
      <c r="Z21" s="67">
        <v>0</v>
      </c>
      <c r="AA21" s="67">
        <v>3</v>
      </c>
      <c r="AB21" s="116">
        <v>0</v>
      </c>
      <c r="AC21" s="66">
        <v>0</v>
      </c>
      <c r="AD21" s="67">
        <v>0</v>
      </c>
      <c r="AE21" s="66">
        <v>0</v>
      </c>
    </row>
    <row r="22" spans="1:31" ht="18" customHeight="1">
      <c r="A22" s="24" t="s">
        <v>50</v>
      </c>
      <c r="B22" s="3">
        <v>69</v>
      </c>
      <c r="C22" s="15">
        <v>30</v>
      </c>
      <c r="D22" s="179">
        <v>60</v>
      </c>
      <c r="E22" s="68">
        <v>77</v>
      </c>
      <c r="F22" s="69">
        <v>98</v>
      </c>
      <c r="G22" s="69">
        <v>70</v>
      </c>
      <c r="H22" s="170">
        <v>50</v>
      </c>
      <c r="I22" s="31">
        <v>41</v>
      </c>
      <c r="J22" s="79">
        <v>29</v>
      </c>
      <c r="K22" s="64">
        <v>45</v>
      </c>
      <c r="L22" s="67">
        <v>40</v>
      </c>
      <c r="M22" s="57">
        <v>31</v>
      </c>
      <c r="N22" s="85">
        <v>25</v>
      </c>
      <c r="O22" s="141">
        <v>40</v>
      </c>
      <c r="P22" s="31">
        <v>26</v>
      </c>
      <c r="Q22" s="31">
        <v>36</v>
      </c>
      <c r="R22" s="31">
        <v>27</v>
      </c>
      <c r="S22" s="189">
        <v>30</v>
      </c>
      <c r="T22" s="31">
        <v>13</v>
      </c>
      <c r="U22" s="31">
        <v>23</v>
      </c>
      <c r="V22" s="79">
        <v>16</v>
      </c>
      <c r="W22" s="124">
        <v>10</v>
      </c>
      <c r="X22" s="31">
        <v>0</v>
      </c>
      <c r="Y22" s="31">
        <v>15</v>
      </c>
      <c r="Z22" s="67">
        <v>0</v>
      </c>
      <c r="AA22" s="67">
        <v>3</v>
      </c>
      <c r="AB22" s="116">
        <v>0</v>
      </c>
      <c r="AC22" s="66">
        <v>0</v>
      </c>
      <c r="AD22" s="67">
        <v>0</v>
      </c>
      <c r="AE22" s="66">
        <v>0</v>
      </c>
    </row>
    <row r="23" spans="1:31" ht="28.5" customHeight="1">
      <c r="A23" s="24" t="s">
        <v>51</v>
      </c>
      <c r="B23" s="3">
        <v>145</v>
      </c>
      <c r="C23" s="15">
        <v>30</v>
      </c>
      <c r="D23" s="179">
        <v>125</v>
      </c>
      <c r="E23" s="68">
        <v>157</v>
      </c>
      <c r="F23" s="69">
        <v>122</v>
      </c>
      <c r="G23" s="69">
        <v>108</v>
      </c>
      <c r="H23" s="170">
        <v>100</v>
      </c>
      <c r="I23" s="31">
        <v>75</v>
      </c>
      <c r="J23" s="204">
        <v>29</v>
      </c>
      <c r="K23" s="64">
        <v>65</v>
      </c>
      <c r="L23" s="59">
        <v>60</v>
      </c>
      <c r="M23" s="57">
        <v>41</v>
      </c>
      <c r="N23" s="85">
        <v>52</v>
      </c>
      <c r="O23" s="141">
        <v>60</v>
      </c>
      <c r="P23" s="31">
        <v>48</v>
      </c>
      <c r="Q23" s="31">
        <v>31</v>
      </c>
      <c r="R23" s="31">
        <v>28</v>
      </c>
      <c r="S23" s="189">
        <v>50</v>
      </c>
      <c r="T23" s="31">
        <v>6</v>
      </c>
      <c r="U23" s="59">
        <v>25</v>
      </c>
      <c r="V23" s="79">
        <v>26</v>
      </c>
      <c r="W23" s="124">
        <v>10</v>
      </c>
      <c r="X23" s="59">
        <v>1</v>
      </c>
      <c r="Y23" s="31">
        <v>15</v>
      </c>
      <c r="Z23" s="67">
        <v>0</v>
      </c>
      <c r="AA23" s="67">
        <v>4</v>
      </c>
      <c r="AB23" s="133">
        <v>0</v>
      </c>
      <c r="AC23" s="66">
        <v>0</v>
      </c>
      <c r="AD23" s="67">
        <v>0</v>
      </c>
      <c r="AE23" s="66">
        <v>0</v>
      </c>
    </row>
    <row r="24" spans="1:31" ht="18" customHeight="1">
      <c r="A24" s="24" t="s">
        <v>52</v>
      </c>
      <c r="B24" s="3">
        <v>100</v>
      </c>
      <c r="C24" s="15">
        <v>30</v>
      </c>
      <c r="D24" s="179">
        <v>100</v>
      </c>
      <c r="E24" s="68">
        <v>90</v>
      </c>
      <c r="F24" s="69">
        <v>145</v>
      </c>
      <c r="G24" s="69">
        <v>102</v>
      </c>
      <c r="H24" s="172">
        <v>80</v>
      </c>
      <c r="I24" s="31">
        <v>60</v>
      </c>
      <c r="J24" s="79">
        <v>61</v>
      </c>
      <c r="K24" s="64">
        <v>113</v>
      </c>
      <c r="L24" s="59">
        <v>60</v>
      </c>
      <c r="M24" s="57">
        <v>49</v>
      </c>
      <c r="N24" s="85">
        <v>42</v>
      </c>
      <c r="O24" s="141">
        <v>60</v>
      </c>
      <c r="P24" s="31">
        <v>46</v>
      </c>
      <c r="Q24" s="31">
        <v>61</v>
      </c>
      <c r="R24" s="31">
        <v>58</v>
      </c>
      <c r="S24" s="189">
        <v>50</v>
      </c>
      <c r="T24" s="59">
        <v>16</v>
      </c>
      <c r="U24" s="31">
        <v>46</v>
      </c>
      <c r="V24" s="59">
        <v>26</v>
      </c>
      <c r="W24" s="124">
        <v>10</v>
      </c>
      <c r="X24" s="59">
        <v>1</v>
      </c>
      <c r="Y24" s="59">
        <v>13</v>
      </c>
      <c r="Z24" s="67">
        <v>3</v>
      </c>
      <c r="AA24" s="67">
        <v>17</v>
      </c>
      <c r="AB24" s="116">
        <v>0</v>
      </c>
      <c r="AC24" s="66">
        <v>1</v>
      </c>
      <c r="AD24" s="67">
        <v>1</v>
      </c>
      <c r="AE24" s="66">
        <v>0</v>
      </c>
    </row>
    <row r="25" spans="1:31" ht="18" customHeight="1" thickBot="1">
      <c r="A25" s="25" t="s">
        <v>53</v>
      </c>
      <c r="B25" s="3">
        <v>24</v>
      </c>
      <c r="C25" s="15">
        <v>10</v>
      </c>
      <c r="D25" s="170">
        <v>10</v>
      </c>
      <c r="E25" s="130">
        <v>15</v>
      </c>
      <c r="F25" s="89">
        <v>14</v>
      </c>
      <c r="G25" s="89">
        <v>10</v>
      </c>
      <c r="H25" s="165">
        <v>10</v>
      </c>
      <c r="I25" s="31">
        <v>4</v>
      </c>
      <c r="J25" s="204">
        <v>0</v>
      </c>
      <c r="K25" s="110">
        <v>2</v>
      </c>
      <c r="L25" s="59">
        <v>10</v>
      </c>
      <c r="M25" s="31">
        <v>1</v>
      </c>
      <c r="N25" s="67">
        <v>12</v>
      </c>
      <c r="O25" s="192">
        <v>10</v>
      </c>
      <c r="P25" s="31">
        <v>7</v>
      </c>
      <c r="Q25" s="31">
        <v>9</v>
      </c>
      <c r="R25" s="84">
        <v>6</v>
      </c>
      <c r="S25" s="179">
        <v>10</v>
      </c>
      <c r="T25" s="31">
        <v>1</v>
      </c>
      <c r="U25" s="31">
        <v>6</v>
      </c>
      <c r="V25" s="59">
        <v>3</v>
      </c>
      <c r="W25" s="69">
        <v>5</v>
      </c>
      <c r="X25" s="59">
        <v>0</v>
      </c>
      <c r="Y25" s="31">
        <v>0</v>
      </c>
      <c r="Z25" s="67">
        <v>2</v>
      </c>
      <c r="AA25" s="67">
        <v>0</v>
      </c>
      <c r="AB25" s="133">
        <v>0</v>
      </c>
      <c r="AC25" s="87">
        <v>0</v>
      </c>
      <c r="AD25" s="65">
        <v>0</v>
      </c>
      <c r="AE25" s="87">
        <v>0</v>
      </c>
    </row>
    <row r="26" spans="1:31" s="4" customFormat="1" ht="18" customHeight="1" thickBot="1">
      <c r="A26" s="27" t="s">
        <v>54</v>
      </c>
      <c r="B26" s="29">
        <f>SUM(B21:B25)</f>
        <v>402</v>
      </c>
      <c r="C26" s="37">
        <v>300</v>
      </c>
      <c r="D26" s="199">
        <v>345</v>
      </c>
      <c r="E26" s="131">
        <f>SUM(E21:E25)</f>
        <v>367</v>
      </c>
      <c r="F26" s="77">
        <f>SUM(F21:F25)</f>
        <v>411</v>
      </c>
      <c r="G26" s="77">
        <f>SUM(G21:G25)</f>
        <v>308</v>
      </c>
      <c r="H26" s="173">
        <v>280</v>
      </c>
      <c r="I26" s="103">
        <f>SUM(I21:I25)</f>
        <v>196</v>
      </c>
      <c r="J26" s="117">
        <f>SUM(J21:J25)</f>
        <v>132</v>
      </c>
      <c r="K26" s="136">
        <f>SUM(K21:K25)</f>
        <v>236</v>
      </c>
      <c r="L26" s="74">
        <v>190</v>
      </c>
      <c r="M26" s="90">
        <f>SUM(M21:M25)</f>
        <v>136</v>
      </c>
      <c r="N26" s="91">
        <f>SUM(N21:N25)</f>
        <v>149</v>
      </c>
      <c r="O26" s="153">
        <v>190</v>
      </c>
      <c r="P26" s="92">
        <f>SUM(P21:P25)</f>
        <v>130</v>
      </c>
      <c r="Q26" s="93">
        <f>SUM(Q21:Q25)</f>
        <v>143</v>
      </c>
      <c r="R26" s="94">
        <f>SUM(R21:R25)</f>
        <v>126</v>
      </c>
      <c r="S26" s="101">
        <v>160</v>
      </c>
      <c r="T26" s="90">
        <f>SUM(T21:T25)</f>
        <v>37</v>
      </c>
      <c r="U26" s="73">
        <f>SUM(U21:U25)</f>
        <v>105</v>
      </c>
      <c r="V26" s="94">
        <f>SUM(V21:V25)</f>
        <v>73</v>
      </c>
      <c r="W26" s="100">
        <v>40</v>
      </c>
      <c r="X26" s="73">
        <f>SUM(X21:X25)</f>
        <v>2</v>
      </c>
      <c r="Y26" s="73">
        <f>SUM(Y21:Y25)</f>
        <v>43</v>
      </c>
      <c r="Z26" s="74">
        <f>SUM(Z21:Z25)</f>
        <v>5</v>
      </c>
      <c r="AA26" s="74">
        <f>SUM(AA21:AA25)</f>
        <v>27</v>
      </c>
      <c r="AB26" s="138">
        <v>0</v>
      </c>
      <c r="AC26" s="75">
        <f>SUM(AC21:AC25)</f>
        <v>1</v>
      </c>
      <c r="AD26" s="74">
        <f>SUM(AD21:AD25)</f>
        <v>1</v>
      </c>
      <c r="AE26" s="75">
        <f>SUM(AE21:AE25)</f>
        <v>0</v>
      </c>
    </row>
    <row r="27" spans="1:31" s="22" customFormat="1" ht="18" customHeight="1" thickBot="1">
      <c r="A27" s="249" t="s">
        <v>55</v>
      </c>
      <c r="B27" s="29">
        <v>18</v>
      </c>
      <c r="C27" s="37">
        <v>10</v>
      </c>
      <c r="D27" s="161">
        <v>20</v>
      </c>
      <c r="E27" s="132">
        <v>15</v>
      </c>
      <c r="F27" s="69">
        <v>27</v>
      </c>
      <c r="G27" s="69">
        <v>23</v>
      </c>
      <c r="H27" s="172">
        <v>20</v>
      </c>
      <c r="I27" s="33">
        <v>13</v>
      </c>
      <c r="J27" s="36">
        <v>16</v>
      </c>
      <c r="K27" s="137">
        <v>23</v>
      </c>
      <c r="L27" s="154">
        <v>10</v>
      </c>
      <c r="M27" s="33">
        <v>15</v>
      </c>
      <c r="N27" s="32">
        <v>17</v>
      </c>
      <c r="O27" s="65">
        <v>10</v>
      </c>
      <c r="P27" s="31">
        <v>19</v>
      </c>
      <c r="Q27" s="31">
        <v>21</v>
      </c>
      <c r="R27" s="67">
        <v>25</v>
      </c>
      <c r="S27" s="183">
        <v>10</v>
      </c>
      <c r="T27" s="65">
        <v>14</v>
      </c>
      <c r="U27" s="59">
        <v>10</v>
      </c>
      <c r="V27" s="59">
        <v>8</v>
      </c>
      <c r="W27" s="69">
        <v>5</v>
      </c>
      <c r="X27" s="59">
        <v>8</v>
      </c>
      <c r="Y27" s="59">
        <v>5</v>
      </c>
      <c r="Z27" s="67">
        <v>0</v>
      </c>
      <c r="AA27" s="67">
        <v>2</v>
      </c>
      <c r="AB27" s="207">
        <v>0</v>
      </c>
      <c r="AC27" s="95">
        <v>0</v>
      </c>
      <c r="AD27" s="95">
        <v>0</v>
      </c>
      <c r="AE27" s="95">
        <v>0</v>
      </c>
    </row>
    <row r="28" spans="1:31" s="22" customFormat="1" ht="18" customHeight="1" thickBot="1">
      <c r="A28" s="250" t="s">
        <v>56</v>
      </c>
      <c r="B28" s="29">
        <v>11</v>
      </c>
      <c r="C28" s="37">
        <v>10</v>
      </c>
      <c r="D28" s="161">
        <v>15</v>
      </c>
      <c r="E28" s="69">
        <v>10</v>
      </c>
      <c r="F28" s="69">
        <v>14</v>
      </c>
      <c r="G28" s="69">
        <v>15</v>
      </c>
      <c r="H28" s="172">
        <v>15</v>
      </c>
      <c r="I28" s="31">
        <v>11</v>
      </c>
      <c r="J28" s="67">
        <v>3</v>
      </c>
      <c r="K28" s="79">
        <v>0</v>
      </c>
      <c r="L28" s="85">
        <v>15</v>
      </c>
      <c r="M28" s="31">
        <v>0</v>
      </c>
      <c r="N28" s="57">
        <v>7</v>
      </c>
      <c r="O28" s="65">
        <v>15</v>
      </c>
      <c r="P28" s="31">
        <v>1</v>
      </c>
      <c r="Q28" s="31">
        <v>7</v>
      </c>
      <c r="R28" s="67">
        <v>4</v>
      </c>
      <c r="S28" s="67">
        <v>15</v>
      </c>
      <c r="T28" s="65">
        <v>2</v>
      </c>
      <c r="U28" s="59">
        <v>7</v>
      </c>
      <c r="V28" s="59">
        <v>12</v>
      </c>
      <c r="W28" s="183">
        <v>10</v>
      </c>
      <c r="X28" s="96">
        <v>1</v>
      </c>
      <c r="Y28" s="59">
        <v>0</v>
      </c>
      <c r="Z28" s="67">
        <v>4</v>
      </c>
      <c r="AA28" s="67">
        <v>5</v>
      </c>
      <c r="AB28" s="36">
        <v>0</v>
      </c>
      <c r="AC28" s="65">
        <v>0</v>
      </c>
      <c r="AD28" s="67">
        <v>0</v>
      </c>
      <c r="AE28" s="65">
        <v>0</v>
      </c>
    </row>
    <row r="29" spans="1:31" s="22" customFormat="1" ht="18" customHeight="1" thickBot="1">
      <c r="A29" s="249" t="s">
        <v>57</v>
      </c>
      <c r="B29" s="29">
        <v>48</v>
      </c>
      <c r="C29" s="37">
        <v>20</v>
      </c>
      <c r="D29" s="161">
        <v>75</v>
      </c>
      <c r="E29" s="69">
        <v>40</v>
      </c>
      <c r="F29" s="69">
        <v>125</v>
      </c>
      <c r="G29" s="69">
        <v>97</v>
      </c>
      <c r="H29" s="170">
        <v>75</v>
      </c>
      <c r="I29" s="31">
        <v>83</v>
      </c>
      <c r="J29" s="67">
        <v>129</v>
      </c>
      <c r="K29" s="79">
        <v>112</v>
      </c>
      <c r="L29" s="119">
        <v>50</v>
      </c>
      <c r="M29" s="31">
        <v>66</v>
      </c>
      <c r="N29" s="57">
        <v>63</v>
      </c>
      <c r="O29" s="31">
        <v>50</v>
      </c>
      <c r="P29" s="31">
        <v>85</v>
      </c>
      <c r="Q29" s="31">
        <v>88</v>
      </c>
      <c r="R29" s="67">
        <v>58</v>
      </c>
      <c r="S29" s="67">
        <v>40</v>
      </c>
      <c r="T29" s="65">
        <v>35</v>
      </c>
      <c r="U29" s="59">
        <v>41</v>
      </c>
      <c r="V29" s="59">
        <v>47</v>
      </c>
      <c r="W29" s="183">
        <v>20</v>
      </c>
      <c r="X29" s="97">
        <v>26</v>
      </c>
      <c r="Y29" s="79">
        <v>32</v>
      </c>
      <c r="Z29" s="67">
        <v>22</v>
      </c>
      <c r="AA29" s="67">
        <v>21</v>
      </c>
      <c r="AB29" s="67">
        <v>0</v>
      </c>
      <c r="AC29" s="65">
        <v>20</v>
      </c>
      <c r="AD29" s="67">
        <v>3</v>
      </c>
      <c r="AE29" s="65">
        <v>0</v>
      </c>
    </row>
    <row r="30" spans="1:31" ht="18" customHeight="1" thickBot="1">
      <c r="A30" s="251" t="s">
        <v>58</v>
      </c>
      <c r="B30" s="31"/>
      <c r="C30" s="31"/>
      <c r="D30" s="171"/>
      <c r="E30" s="149"/>
      <c r="F30" s="62"/>
      <c r="G30" s="62"/>
      <c r="H30" s="165"/>
      <c r="I30" s="64"/>
      <c r="J30" s="35"/>
      <c r="K30" s="64"/>
      <c r="L30" s="31"/>
      <c r="M30" s="31"/>
      <c r="N30" s="79"/>
      <c r="O30" s="116"/>
      <c r="P30" s="64"/>
      <c r="Q30" s="33"/>
      <c r="R30" s="36"/>
      <c r="S30" s="116"/>
      <c r="T30" s="104"/>
      <c r="U30" s="33"/>
      <c r="V30" s="36"/>
      <c r="W30" s="139"/>
      <c r="X30" s="104"/>
      <c r="Y30" s="33"/>
      <c r="Z30" s="36"/>
      <c r="AA30" s="36"/>
      <c r="AB30" s="135"/>
      <c r="AC30" s="152"/>
      <c r="AD30" s="36"/>
      <c r="AE30" s="152"/>
    </row>
    <row r="31" spans="1:31" ht="18" customHeight="1">
      <c r="A31" s="24" t="s">
        <v>59</v>
      </c>
      <c r="B31" s="3">
        <v>11</v>
      </c>
      <c r="C31" s="15">
        <v>10</v>
      </c>
      <c r="D31" s="164">
        <v>10</v>
      </c>
      <c r="E31" s="68">
        <v>9</v>
      </c>
      <c r="F31" s="69">
        <v>24</v>
      </c>
      <c r="G31" s="69">
        <v>12</v>
      </c>
      <c r="H31" s="163">
        <v>10</v>
      </c>
      <c r="I31" s="31">
        <v>12</v>
      </c>
      <c r="J31" s="31">
        <v>0</v>
      </c>
      <c r="K31" s="31">
        <v>10</v>
      </c>
      <c r="L31" s="67">
        <v>10</v>
      </c>
      <c r="M31" s="31">
        <v>5</v>
      </c>
      <c r="N31" s="79">
        <v>5</v>
      </c>
      <c r="O31" s="67">
        <v>10</v>
      </c>
      <c r="P31" s="57">
        <v>2</v>
      </c>
      <c r="Q31" s="31">
        <v>7</v>
      </c>
      <c r="R31" s="79">
        <v>5</v>
      </c>
      <c r="S31" s="69">
        <v>10</v>
      </c>
      <c r="T31" s="31">
        <v>13</v>
      </c>
      <c r="U31" s="31">
        <v>2</v>
      </c>
      <c r="V31" s="79">
        <v>3</v>
      </c>
      <c r="W31" s="182">
        <v>10</v>
      </c>
      <c r="X31" s="31">
        <v>0</v>
      </c>
      <c r="Y31" s="31">
        <v>0</v>
      </c>
      <c r="Z31" s="67">
        <v>8</v>
      </c>
      <c r="AA31" s="67">
        <v>4</v>
      </c>
      <c r="AB31" s="179">
        <v>10</v>
      </c>
      <c r="AC31" s="67">
        <v>0</v>
      </c>
      <c r="AD31" s="142">
        <v>0</v>
      </c>
      <c r="AE31" s="67">
        <v>0</v>
      </c>
    </row>
    <row r="32" spans="1:31" ht="18" customHeight="1">
      <c r="A32" s="23" t="s">
        <v>60</v>
      </c>
      <c r="B32" s="3">
        <v>34</v>
      </c>
      <c r="C32" s="15">
        <v>20</v>
      </c>
      <c r="D32" s="164">
        <v>40</v>
      </c>
      <c r="E32" s="68">
        <v>38</v>
      </c>
      <c r="F32" s="69">
        <v>35</v>
      </c>
      <c r="G32" s="69">
        <v>45</v>
      </c>
      <c r="H32" s="179">
        <v>40</v>
      </c>
      <c r="I32" s="31">
        <v>30</v>
      </c>
      <c r="J32" s="31">
        <v>23</v>
      </c>
      <c r="K32" s="31">
        <v>17</v>
      </c>
      <c r="L32" s="116">
        <v>30</v>
      </c>
      <c r="M32" s="31">
        <v>13</v>
      </c>
      <c r="N32" s="31">
        <v>16</v>
      </c>
      <c r="O32" s="69">
        <v>30</v>
      </c>
      <c r="P32" s="57">
        <v>25</v>
      </c>
      <c r="Q32" s="31">
        <v>12</v>
      </c>
      <c r="R32" s="31">
        <v>154</v>
      </c>
      <c r="S32" s="67">
        <v>25</v>
      </c>
      <c r="T32" s="31">
        <v>46</v>
      </c>
      <c r="U32" s="31">
        <v>51</v>
      </c>
      <c r="V32" s="79">
        <v>29</v>
      </c>
      <c r="W32" s="182">
        <v>20</v>
      </c>
      <c r="X32" s="66">
        <v>23</v>
      </c>
      <c r="Y32" s="67">
        <v>21</v>
      </c>
      <c r="Z32" s="142">
        <v>31</v>
      </c>
      <c r="AA32" s="142">
        <v>25</v>
      </c>
      <c r="AB32" s="31">
        <v>10</v>
      </c>
      <c r="AC32" s="68">
        <v>22</v>
      </c>
      <c r="AD32" s="67">
        <v>34</v>
      </c>
      <c r="AE32" s="68">
        <v>6</v>
      </c>
    </row>
    <row r="33" spans="1:31" ht="18" customHeight="1" thickBot="1">
      <c r="A33" s="25" t="s">
        <v>61</v>
      </c>
      <c r="B33" s="3">
        <v>13</v>
      </c>
      <c r="C33" s="15">
        <v>10</v>
      </c>
      <c r="D33" s="164">
        <v>20</v>
      </c>
      <c r="E33" s="88">
        <v>34</v>
      </c>
      <c r="F33" s="89">
        <v>41</v>
      </c>
      <c r="G33" s="89">
        <v>33</v>
      </c>
      <c r="H33" s="165">
        <v>20</v>
      </c>
      <c r="I33" s="31">
        <v>28</v>
      </c>
      <c r="J33" s="31">
        <v>21</v>
      </c>
      <c r="K33" s="64">
        <v>29</v>
      </c>
      <c r="L33" s="116">
        <v>20</v>
      </c>
      <c r="M33" s="31">
        <v>23</v>
      </c>
      <c r="N33" s="79">
        <v>40</v>
      </c>
      <c r="O33" s="67">
        <v>20</v>
      </c>
      <c r="P33" s="57">
        <v>25</v>
      </c>
      <c r="Q33" s="31">
        <v>39</v>
      </c>
      <c r="R33" s="79">
        <v>34</v>
      </c>
      <c r="S33" s="65">
        <v>20</v>
      </c>
      <c r="T33" s="57">
        <v>15</v>
      </c>
      <c r="U33" s="31">
        <v>35</v>
      </c>
      <c r="V33" s="79">
        <v>31</v>
      </c>
      <c r="W33" s="182">
        <v>20</v>
      </c>
      <c r="X33" s="57">
        <v>37</v>
      </c>
      <c r="Y33" s="31">
        <v>24</v>
      </c>
      <c r="Z33" s="67">
        <v>24</v>
      </c>
      <c r="AA33" s="67">
        <v>17</v>
      </c>
      <c r="AB33" s="180">
        <v>10</v>
      </c>
      <c r="AC33" s="66">
        <v>1</v>
      </c>
      <c r="AD33" s="67">
        <v>5</v>
      </c>
      <c r="AE33" s="66">
        <v>0</v>
      </c>
    </row>
    <row r="34" spans="1:31" ht="18" customHeight="1" thickBot="1">
      <c r="A34" s="24" t="s">
        <v>62</v>
      </c>
      <c r="B34" s="3">
        <v>11</v>
      </c>
      <c r="C34" s="15">
        <v>10</v>
      </c>
      <c r="D34" s="164">
        <v>15</v>
      </c>
      <c r="E34" s="69">
        <v>14</v>
      </c>
      <c r="F34" s="70">
        <v>27</v>
      </c>
      <c r="G34" s="89">
        <v>23</v>
      </c>
      <c r="H34" s="163">
        <v>15</v>
      </c>
      <c r="I34" s="31">
        <v>12</v>
      </c>
      <c r="J34" s="31">
        <v>16</v>
      </c>
      <c r="K34" s="64">
        <v>15</v>
      </c>
      <c r="L34" s="67">
        <v>15</v>
      </c>
      <c r="M34" s="31">
        <v>14</v>
      </c>
      <c r="N34" s="79">
        <v>18</v>
      </c>
      <c r="O34" s="67">
        <v>15</v>
      </c>
      <c r="P34" s="57">
        <v>16</v>
      </c>
      <c r="Q34" s="31">
        <v>16</v>
      </c>
      <c r="R34" s="79">
        <v>11</v>
      </c>
      <c r="S34" s="67">
        <v>15</v>
      </c>
      <c r="T34" s="31">
        <v>13</v>
      </c>
      <c r="U34" s="31">
        <v>16</v>
      </c>
      <c r="V34" s="79">
        <v>10</v>
      </c>
      <c r="W34" s="182">
        <v>15</v>
      </c>
      <c r="X34" s="31">
        <v>14</v>
      </c>
      <c r="Y34" s="31">
        <v>11</v>
      </c>
      <c r="Z34" s="67">
        <v>10</v>
      </c>
      <c r="AA34" s="67">
        <v>9</v>
      </c>
      <c r="AB34" s="180">
        <v>10</v>
      </c>
      <c r="AC34" s="66">
        <v>0</v>
      </c>
      <c r="AD34" s="67">
        <v>2</v>
      </c>
      <c r="AE34" s="66">
        <v>0</v>
      </c>
    </row>
    <row r="35" spans="1:31" ht="18" customHeight="1">
      <c r="A35" s="24" t="s">
        <v>63</v>
      </c>
      <c r="B35" s="3">
        <v>55</v>
      </c>
      <c r="C35" s="15">
        <v>30</v>
      </c>
      <c r="D35" s="164">
        <v>100</v>
      </c>
      <c r="E35" s="68">
        <v>55</v>
      </c>
      <c r="F35" s="69">
        <v>131</v>
      </c>
      <c r="G35" s="69">
        <v>73</v>
      </c>
      <c r="H35" s="194">
        <v>100</v>
      </c>
      <c r="I35" s="31">
        <v>64</v>
      </c>
      <c r="J35" s="31">
        <v>74</v>
      </c>
      <c r="K35" s="71">
        <v>70</v>
      </c>
      <c r="L35" s="67">
        <v>80</v>
      </c>
      <c r="M35" s="31">
        <v>67</v>
      </c>
      <c r="N35" s="79">
        <v>82</v>
      </c>
      <c r="O35" s="67">
        <v>80</v>
      </c>
      <c r="P35" s="57">
        <v>61</v>
      </c>
      <c r="Q35" s="31">
        <v>70</v>
      </c>
      <c r="R35" s="79">
        <v>38</v>
      </c>
      <c r="S35" s="67">
        <v>60</v>
      </c>
      <c r="T35" s="57">
        <v>48</v>
      </c>
      <c r="U35" s="31">
        <v>54</v>
      </c>
      <c r="V35" s="79">
        <v>63</v>
      </c>
      <c r="W35" s="182">
        <v>45</v>
      </c>
      <c r="X35" s="31">
        <v>41</v>
      </c>
      <c r="Y35" s="31">
        <v>20</v>
      </c>
      <c r="Z35" s="67">
        <v>13</v>
      </c>
      <c r="AA35" s="67">
        <v>35</v>
      </c>
      <c r="AB35" s="71">
        <v>5</v>
      </c>
      <c r="AC35" s="66">
        <v>8</v>
      </c>
      <c r="AD35" s="67">
        <v>2</v>
      </c>
      <c r="AE35" s="66">
        <v>0</v>
      </c>
    </row>
    <row r="36" spans="1:31" ht="18" customHeight="1">
      <c r="A36" s="25" t="s">
        <v>64</v>
      </c>
      <c r="B36" s="3">
        <v>23</v>
      </c>
      <c r="C36" s="15">
        <v>10</v>
      </c>
      <c r="D36" s="169">
        <v>30</v>
      </c>
      <c r="E36" s="69">
        <v>46</v>
      </c>
      <c r="F36" s="98">
        <v>89</v>
      </c>
      <c r="G36" s="98">
        <v>45</v>
      </c>
      <c r="H36" s="195">
        <v>30</v>
      </c>
      <c r="I36" s="31">
        <v>42</v>
      </c>
      <c r="J36" s="31">
        <v>63</v>
      </c>
      <c r="K36" s="71">
        <v>40</v>
      </c>
      <c r="L36" s="114">
        <v>25</v>
      </c>
      <c r="M36" s="72">
        <v>31</v>
      </c>
      <c r="N36" s="59">
        <v>42</v>
      </c>
      <c r="O36" s="65">
        <v>25</v>
      </c>
      <c r="P36" s="58">
        <v>34</v>
      </c>
      <c r="Q36" s="72">
        <v>37</v>
      </c>
      <c r="R36" s="59">
        <v>34</v>
      </c>
      <c r="S36" s="65">
        <v>20</v>
      </c>
      <c r="T36" s="58">
        <v>43</v>
      </c>
      <c r="U36" s="72">
        <v>22</v>
      </c>
      <c r="V36" s="59">
        <v>38</v>
      </c>
      <c r="W36" s="184">
        <v>10</v>
      </c>
      <c r="X36" s="58">
        <v>20</v>
      </c>
      <c r="Y36" s="72">
        <v>15</v>
      </c>
      <c r="Z36" s="65">
        <v>15</v>
      </c>
      <c r="AA36" s="65">
        <v>31</v>
      </c>
      <c r="AB36" s="71">
        <v>5</v>
      </c>
      <c r="AC36" s="87">
        <v>8</v>
      </c>
      <c r="AD36" s="65">
        <v>2</v>
      </c>
      <c r="AE36" s="87">
        <v>0</v>
      </c>
    </row>
    <row r="37" spans="1:31" s="22" customFormat="1" ht="18" customHeight="1" thickBot="1">
      <c r="A37" s="25" t="s">
        <v>65</v>
      </c>
      <c r="B37" s="3">
        <v>13</v>
      </c>
      <c r="C37" s="15">
        <v>10</v>
      </c>
      <c r="D37" s="169">
        <v>10</v>
      </c>
      <c r="E37" s="100">
        <v>14</v>
      </c>
      <c r="F37" s="100">
        <v>42</v>
      </c>
      <c r="G37" s="69">
        <v>41</v>
      </c>
      <c r="H37" s="167">
        <v>10</v>
      </c>
      <c r="I37" s="31">
        <v>30</v>
      </c>
      <c r="J37" s="31">
        <v>28</v>
      </c>
      <c r="K37" s="31">
        <v>20</v>
      </c>
      <c r="L37" s="31">
        <v>10</v>
      </c>
      <c r="M37" s="31">
        <v>17</v>
      </c>
      <c r="N37" s="31">
        <v>21</v>
      </c>
      <c r="O37" s="193">
        <v>10</v>
      </c>
      <c r="P37" s="71">
        <v>17</v>
      </c>
      <c r="Q37" s="31">
        <v>16</v>
      </c>
      <c r="R37" s="58">
        <v>11</v>
      </c>
      <c r="S37" s="189">
        <v>10</v>
      </c>
      <c r="T37" s="57">
        <v>34</v>
      </c>
      <c r="U37" s="31">
        <v>18</v>
      </c>
      <c r="V37" s="67">
        <v>23</v>
      </c>
      <c r="W37" s="185">
        <v>10</v>
      </c>
      <c r="X37" s="31">
        <v>10</v>
      </c>
      <c r="Y37" s="31">
        <v>2</v>
      </c>
      <c r="Z37" s="65">
        <v>14</v>
      </c>
      <c r="AA37" s="65">
        <v>12</v>
      </c>
      <c r="AB37" s="31">
        <v>0</v>
      </c>
      <c r="AC37" s="66">
        <v>0</v>
      </c>
      <c r="AD37" s="67">
        <v>0</v>
      </c>
      <c r="AE37" s="66">
        <v>0</v>
      </c>
    </row>
    <row r="38" spans="1:31" s="22" customFormat="1" ht="18" customHeight="1" thickBot="1">
      <c r="A38" s="252" t="s">
        <v>66</v>
      </c>
      <c r="B38" s="34">
        <f>SUM(B31:B37)</f>
        <v>160</v>
      </c>
      <c r="C38" s="253">
        <v>100</v>
      </c>
      <c r="D38" s="161">
        <v>225</v>
      </c>
      <c r="E38" s="100">
        <f>SUM(E31:E37)</f>
        <v>210</v>
      </c>
      <c r="F38" s="100">
        <f>SUM(F31:F37)</f>
        <v>389</v>
      </c>
      <c r="G38" s="100">
        <f>SUM(G31:G37)</f>
        <v>272</v>
      </c>
      <c r="H38" s="166">
        <v>225</v>
      </c>
      <c r="I38" s="103">
        <f>SUM(I31:I37)</f>
        <v>218</v>
      </c>
      <c r="J38" s="103">
        <f>SUM(J31:J37)</f>
        <v>225</v>
      </c>
      <c r="K38" s="101">
        <f>SUM(K31:K37)</f>
        <v>201</v>
      </c>
      <c r="L38" s="101">
        <v>190</v>
      </c>
      <c r="M38" s="101">
        <f>SUM(M31:M37)</f>
        <v>170</v>
      </c>
      <c r="N38" s="101">
        <f>SUM(N31:N37)</f>
        <v>224</v>
      </c>
      <c r="O38" s="35">
        <v>190</v>
      </c>
      <c r="P38" s="208">
        <f>SUM(P31:P37)</f>
        <v>180</v>
      </c>
      <c r="Q38" s="101">
        <f>SUM(Q31:Q37)</f>
        <v>197</v>
      </c>
      <c r="R38" s="102">
        <f>SUM(R31:R37)</f>
        <v>287</v>
      </c>
      <c r="S38" s="35">
        <v>160</v>
      </c>
      <c r="T38" s="102">
        <f>SUM(T31:T37)</f>
        <v>212</v>
      </c>
      <c r="U38" s="101">
        <f>SUM(U31:U37)</f>
        <v>198</v>
      </c>
      <c r="V38" s="35">
        <f>SUM(V31:V37)</f>
        <v>197</v>
      </c>
      <c r="W38" s="185">
        <v>130</v>
      </c>
      <c r="X38" s="137">
        <f>SUM(X31:X37)</f>
        <v>145</v>
      </c>
      <c r="Y38" s="101">
        <f>SUM(Y31:Y37)</f>
        <v>93</v>
      </c>
      <c r="Z38" s="254">
        <f>SUM(Z31:Z37)</f>
        <v>115</v>
      </c>
      <c r="AA38" s="254">
        <f>SUM(AA31:AA37)</f>
        <v>133</v>
      </c>
      <c r="AB38" s="101">
        <v>50</v>
      </c>
      <c r="AC38" s="35">
        <f>SUM(AC31:AC37)</f>
        <v>39</v>
      </c>
      <c r="AD38" s="35">
        <f>SUM(AD31:AD37)</f>
        <v>45</v>
      </c>
      <c r="AE38" s="35">
        <f>SUM(AE31:AE37)</f>
        <v>6</v>
      </c>
    </row>
    <row r="39" spans="1:31" ht="18" customHeight="1">
      <c r="A39" s="255" t="s">
        <v>67</v>
      </c>
      <c r="B39" s="31"/>
      <c r="C39" s="31"/>
      <c r="D39" s="171"/>
      <c r="E39" s="149"/>
      <c r="F39" s="62"/>
      <c r="G39" s="62"/>
      <c r="H39" s="165"/>
      <c r="I39" s="64"/>
      <c r="J39" s="67"/>
      <c r="K39" s="104"/>
      <c r="L39" s="116"/>
      <c r="M39" s="33"/>
      <c r="N39" s="83"/>
      <c r="O39" s="116"/>
      <c r="P39" s="64"/>
      <c r="Q39" s="33"/>
      <c r="R39" s="36"/>
      <c r="S39" s="116"/>
      <c r="T39" s="104"/>
      <c r="U39" s="33"/>
      <c r="V39" s="36"/>
      <c r="W39" s="139"/>
      <c r="X39" s="104"/>
      <c r="Y39" s="33"/>
      <c r="Z39" s="36"/>
      <c r="AA39" s="36"/>
      <c r="AB39" s="116"/>
      <c r="AC39" s="104"/>
      <c r="AD39" s="36"/>
      <c r="AE39" s="104"/>
    </row>
    <row r="40" spans="1:31" ht="18" customHeight="1">
      <c r="A40" s="24" t="s">
        <v>68</v>
      </c>
      <c r="B40" s="3">
        <v>11</v>
      </c>
      <c r="C40" s="15">
        <v>5</v>
      </c>
      <c r="D40" s="164">
        <v>10</v>
      </c>
      <c r="E40" s="132">
        <v>22</v>
      </c>
      <c r="F40" s="69">
        <v>28</v>
      </c>
      <c r="G40" s="69">
        <v>14</v>
      </c>
      <c r="H40" s="163">
        <v>10</v>
      </c>
      <c r="I40" s="31">
        <v>17</v>
      </c>
      <c r="J40" s="57">
        <v>14</v>
      </c>
      <c r="K40" s="79">
        <v>7</v>
      </c>
      <c r="L40" s="65">
        <v>10</v>
      </c>
      <c r="M40" s="79">
        <v>9</v>
      </c>
      <c r="N40" s="79">
        <v>6</v>
      </c>
      <c r="O40" s="116">
        <v>10</v>
      </c>
      <c r="P40" s="57">
        <v>16</v>
      </c>
      <c r="Q40" s="79">
        <v>16</v>
      </c>
      <c r="R40" s="79">
        <v>14</v>
      </c>
      <c r="S40" s="179">
        <v>10</v>
      </c>
      <c r="T40" s="31">
        <v>10</v>
      </c>
      <c r="U40" s="31">
        <v>13</v>
      </c>
      <c r="V40" s="79">
        <v>17</v>
      </c>
      <c r="W40" s="182">
        <v>5</v>
      </c>
      <c r="X40" s="72">
        <v>0</v>
      </c>
      <c r="Y40" s="67">
        <v>2</v>
      </c>
      <c r="Z40" s="31">
        <v>4</v>
      </c>
      <c r="AA40" s="31">
        <v>0</v>
      </c>
      <c r="AB40" s="116">
        <v>0</v>
      </c>
      <c r="AC40" s="66">
        <v>0</v>
      </c>
      <c r="AD40" s="67">
        <v>0</v>
      </c>
      <c r="AE40" s="66">
        <v>0</v>
      </c>
    </row>
    <row r="41" spans="1:31" ht="18" customHeight="1">
      <c r="A41" s="24" t="s">
        <v>69</v>
      </c>
      <c r="B41" s="3">
        <v>18</v>
      </c>
      <c r="C41" s="15">
        <v>10</v>
      </c>
      <c r="D41" s="164">
        <v>15</v>
      </c>
      <c r="E41" s="132">
        <v>38</v>
      </c>
      <c r="F41" s="69">
        <v>42</v>
      </c>
      <c r="G41" s="69">
        <v>26</v>
      </c>
      <c r="H41" s="189">
        <v>15</v>
      </c>
      <c r="I41" s="31">
        <v>23</v>
      </c>
      <c r="J41" s="79">
        <v>24</v>
      </c>
      <c r="K41" s="64">
        <v>12</v>
      </c>
      <c r="L41" s="65">
        <v>10</v>
      </c>
      <c r="M41" s="31">
        <v>16</v>
      </c>
      <c r="N41" s="79">
        <v>15</v>
      </c>
      <c r="O41" s="116">
        <v>10</v>
      </c>
      <c r="P41" s="57">
        <v>13</v>
      </c>
      <c r="Q41" s="79">
        <v>14</v>
      </c>
      <c r="R41" s="79">
        <v>25</v>
      </c>
      <c r="S41" s="179">
        <v>10</v>
      </c>
      <c r="T41" s="31">
        <v>16</v>
      </c>
      <c r="U41" s="31">
        <v>11</v>
      </c>
      <c r="V41" s="79">
        <v>21</v>
      </c>
      <c r="W41" s="124">
        <v>5</v>
      </c>
      <c r="X41" s="72">
        <v>1</v>
      </c>
      <c r="Y41" s="31">
        <v>1</v>
      </c>
      <c r="Z41" s="31">
        <v>9</v>
      </c>
      <c r="AA41" s="31">
        <v>3</v>
      </c>
      <c r="AB41" s="116">
        <v>0</v>
      </c>
      <c r="AC41" s="67">
        <v>1</v>
      </c>
      <c r="AD41" s="67">
        <v>0</v>
      </c>
      <c r="AE41" s="67">
        <v>0</v>
      </c>
    </row>
    <row r="42" spans="1:31" ht="18" customHeight="1">
      <c r="A42" s="24" t="s">
        <v>70</v>
      </c>
      <c r="B42" s="3">
        <v>26</v>
      </c>
      <c r="C42" s="15">
        <v>10</v>
      </c>
      <c r="D42" s="189">
        <v>25</v>
      </c>
      <c r="E42" s="132">
        <v>25</v>
      </c>
      <c r="F42" s="69">
        <v>52</v>
      </c>
      <c r="G42" s="69">
        <v>45</v>
      </c>
      <c r="H42" s="163">
        <v>20</v>
      </c>
      <c r="I42" s="31">
        <v>24</v>
      </c>
      <c r="J42" s="79">
        <v>26</v>
      </c>
      <c r="K42" s="79">
        <v>8</v>
      </c>
      <c r="L42" s="65">
        <v>10</v>
      </c>
      <c r="M42" s="79">
        <v>21</v>
      </c>
      <c r="N42" s="79">
        <v>11</v>
      </c>
      <c r="O42" s="116">
        <v>10</v>
      </c>
      <c r="P42" s="79">
        <v>28</v>
      </c>
      <c r="Q42" s="79">
        <v>30</v>
      </c>
      <c r="R42" s="79">
        <v>28</v>
      </c>
      <c r="S42" s="179">
        <v>10</v>
      </c>
      <c r="T42" s="31">
        <v>16</v>
      </c>
      <c r="U42" s="31">
        <v>18</v>
      </c>
      <c r="V42" s="79">
        <v>20</v>
      </c>
      <c r="W42" s="124">
        <v>5</v>
      </c>
      <c r="X42" s="72">
        <v>0</v>
      </c>
      <c r="Y42" s="86">
        <v>2</v>
      </c>
      <c r="Z42" s="31">
        <v>11</v>
      </c>
      <c r="AA42" s="31">
        <v>4</v>
      </c>
      <c r="AB42" s="79">
        <v>0</v>
      </c>
      <c r="AC42" s="66">
        <v>0</v>
      </c>
      <c r="AD42" s="67">
        <v>0</v>
      </c>
      <c r="AE42" s="66">
        <v>0</v>
      </c>
    </row>
    <row r="43" spans="1:31" ht="18" customHeight="1" thickBot="1">
      <c r="A43" s="25" t="s">
        <v>71</v>
      </c>
      <c r="B43" s="3">
        <v>13</v>
      </c>
      <c r="C43" s="15">
        <v>5</v>
      </c>
      <c r="D43" s="163">
        <v>10</v>
      </c>
      <c r="E43" s="130">
        <v>23</v>
      </c>
      <c r="F43" s="89">
        <v>31</v>
      </c>
      <c r="G43" s="89">
        <v>16</v>
      </c>
      <c r="H43" s="189">
        <v>10</v>
      </c>
      <c r="I43" s="31">
        <v>15</v>
      </c>
      <c r="J43" s="57">
        <v>17</v>
      </c>
      <c r="K43" s="79">
        <v>17</v>
      </c>
      <c r="L43" s="65">
        <v>5</v>
      </c>
      <c r="M43" s="79">
        <v>14</v>
      </c>
      <c r="N43" s="79">
        <v>14</v>
      </c>
      <c r="O43" s="64">
        <v>5</v>
      </c>
      <c r="P43" s="79">
        <v>17</v>
      </c>
      <c r="Q43" s="79">
        <v>13</v>
      </c>
      <c r="R43" s="79">
        <v>8</v>
      </c>
      <c r="S43" s="31">
        <v>5</v>
      </c>
      <c r="T43" s="31">
        <v>11</v>
      </c>
      <c r="U43" s="31">
        <v>15</v>
      </c>
      <c r="V43" s="79">
        <v>17</v>
      </c>
      <c r="W43" s="183">
        <v>5</v>
      </c>
      <c r="X43" s="72">
        <v>0</v>
      </c>
      <c r="Y43" s="31">
        <v>2</v>
      </c>
      <c r="Z43" s="31">
        <v>7</v>
      </c>
      <c r="AA43" s="31">
        <v>0</v>
      </c>
      <c r="AB43" s="116">
        <v>0</v>
      </c>
      <c r="AC43" s="71">
        <v>0</v>
      </c>
      <c r="AD43" s="67">
        <v>0</v>
      </c>
      <c r="AE43" s="71">
        <v>0</v>
      </c>
    </row>
    <row r="44" spans="1:31" s="4" customFormat="1" ht="18" customHeight="1" thickBot="1">
      <c r="A44" s="27" t="s">
        <v>72</v>
      </c>
      <c r="B44" s="29">
        <f>SUM(B40:B43)</f>
        <v>68</v>
      </c>
      <c r="C44" s="37">
        <v>40</v>
      </c>
      <c r="D44" s="200">
        <v>60</v>
      </c>
      <c r="E44" s="148">
        <f>SUM(E40:E43)</f>
        <v>108</v>
      </c>
      <c r="F44" s="77">
        <f>SUM(F40:F43)</f>
        <v>153</v>
      </c>
      <c r="G44" s="77">
        <f>SUM(G40:G43)</f>
        <v>101</v>
      </c>
      <c r="H44" s="162">
        <v>55</v>
      </c>
      <c r="I44" s="101">
        <f>SUM(I40:I43)</f>
        <v>79</v>
      </c>
      <c r="J44" s="205">
        <f>SUM(J40:J43)</f>
        <v>81</v>
      </c>
      <c r="K44" s="79">
        <f>SUM(K40:K43)</f>
        <v>44</v>
      </c>
      <c r="L44" s="209">
        <v>35</v>
      </c>
      <c r="M44" s="102">
        <f>SUM(M40:M43)</f>
        <v>60</v>
      </c>
      <c r="N44" s="102">
        <f>SUM(N40:N43)</f>
        <v>46</v>
      </c>
      <c r="O44" s="208">
        <v>35</v>
      </c>
      <c r="P44" s="102">
        <f>SUM(P40:P43)</f>
        <v>74</v>
      </c>
      <c r="Q44" s="102">
        <f>SUM(Q40:Q43)</f>
        <v>73</v>
      </c>
      <c r="R44" s="102">
        <f>SUM(R40:R43)</f>
        <v>75</v>
      </c>
      <c r="S44" s="210">
        <v>35</v>
      </c>
      <c r="T44" s="101">
        <f>SUM(T40:T43)</f>
        <v>53</v>
      </c>
      <c r="U44" s="101">
        <f>SUM(U40:U43)</f>
        <v>57</v>
      </c>
      <c r="V44" s="102">
        <f>SUM(V40:V43)</f>
        <v>75</v>
      </c>
      <c r="W44" s="100">
        <v>20</v>
      </c>
      <c r="X44" s="103">
        <f>SUM(X40:X43)</f>
        <v>1</v>
      </c>
      <c r="Y44" s="35">
        <f>SUM(Y40:Y43)</f>
        <v>7</v>
      </c>
      <c r="Z44" s="101">
        <f>SUM(Z40:Z43)</f>
        <v>31</v>
      </c>
      <c r="AA44" s="101">
        <f>SUM(AA40:AA43)</f>
        <v>7</v>
      </c>
      <c r="AB44" s="135">
        <v>0</v>
      </c>
      <c r="AC44" s="151">
        <f>SUM(AC40:AC43)</f>
        <v>1</v>
      </c>
      <c r="AD44" s="74">
        <f>SUM(AD40:AD43)</f>
        <v>0</v>
      </c>
      <c r="AE44" s="151">
        <v>0</v>
      </c>
    </row>
    <row r="45" spans="1:31" s="4" customFormat="1" ht="18" customHeight="1" thickBot="1">
      <c r="A45" s="27" t="s">
        <v>73</v>
      </c>
      <c r="B45" s="29">
        <f>SUM(B19+B26+B27+B28+B29+B38+B44)</f>
        <v>1153</v>
      </c>
      <c r="C45" s="37">
        <v>800</v>
      </c>
      <c r="D45" s="161">
        <v>1485</v>
      </c>
      <c r="E45" s="148">
        <f>SUM(E19+E26+E27+E28+E29+E38+E44)</f>
        <v>1363</v>
      </c>
      <c r="F45" s="77">
        <f>SUM(F19+F26+F27+F28+F29+F38+F44)</f>
        <v>1897</v>
      </c>
      <c r="G45" s="77">
        <f>SUM(G19+G26+G27+G28+G29+G38+G44)</f>
        <v>1445</v>
      </c>
      <c r="H45" s="161">
        <v>1215</v>
      </c>
      <c r="I45" s="101">
        <f>SUM(I19+I26+I27+I28+I29+I38+I44)</f>
        <v>962</v>
      </c>
      <c r="J45" s="205">
        <f>SUM(J19+J26+J27+J28+J29+J38+J44)</f>
        <v>964</v>
      </c>
      <c r="K45" s="73">
        <f t="shared" ref="K45" si="1">SUM(K19+K26+K27+K28+K29+K38+K44)</f>
        <v>978</v>
      </c>
      <c r="L45" s="74">
        <v>805</v>
      </c>
      <c r="M45" s="73">
        <f>SUM(M19+M26+M27+M28+M29+M38+M44)</f>
        <v>831</v>
      </c>
      <c r="N45" s="105">
        <f t="shared" ref="N45" si="2">SUM(N19+N26+N27+N28+N29+N38+N44)</f>
        <v>844</v>
      </c>
      <c r="O45" s="122">
        <v>805</v>
      </c>
      <c r="P45" s="73">
        <f>SUM(P19+P26+P27+P28+P29+P38+P44)</f>
        <v>773</v>
      </c>
      <c r="Q45" s="73">
        <f>SUM(Q19+Q26+Q27+Q28+Q29+Q38+Q44)</f>
        <v>815</v>
      </c>
      <c r="R45" s="106">
        <f>SUM(R19+R26+R27+R28+R29+R38+R44)</f>
        <v>1014</v>
      </c>
      <c r="S45" s="93">
        <v>665</v>
      </c>
      <c r="T45" s="73">
        <f>SUM(T19,T26,T27,T28,T29,T38,T44)</f>
        <v>588</v>
      </c>
      <c r="U45" s="73">
        <f t="shared" ref="U45:V45" si="3">SUM(U19,U26,U27,U28,U29,U38,U44)</f>
        <v>637</v>
      </c>
      <c r="V45" s="73">
        <f t="shared" si="3"/>
        <v>733</v>
      </c>
      <c r="W45" s="100">
        <v>317</v>
      </c>
      <c r="X45" s="107">
        <f>SUM(X19+X26+X27+X28+X29+X38+X44)</f>
        <v>235</v>
      </c>
      <c r="Y45" s="73">
        <f>SUM(Y19+Y26+Y27+Y28+Y29+Y38+Y44)</f>
        <v>329</v>
      </c>
      <c r="Z45" s="73">
        <f>SUM(Z19+Z26+Z27+Z28+Z29+Z38+Z44)</f>
        <v>250</v>
      </c>
      <c r="AA45" s="73">
        <f>SUM(AA19+AA26+AA27+AA28+AA29+AA38+AA44)</f>
        <v>262</v>
      </c>
      <c r="AB45" s="101">
        <v>58</v>
      </c>
      <c r="AC45" s="75">
        <f>SUM(AC19+AC26+AC27+AC28+AC29+AC38+AC44)</f>
        <v>84</v>
      </c>
      <c r="AD45" s="74">
        <f>SUM(AD19+AD26+AD27+AD28+AD29+AD38+AD44)</f>
        <v>80</v>
      </c>
      <c r="AE45" s="75">
        <f>SUM(AE19+AE26+AE27+AE28+AE29+AE38+AE44)</f>
        <v>27</v>
      </c>
    </row>
    <row r="46" spans="1:31" s="30" customFormat="1" ht="16.5" customHeight="1" thickBot="1">
      <c r="A46" s="109" t="s">
        <v>74</v>
      </c>
      <c r="B46" s="111">
        <v>400</v>
      </c>
      <c r="C46" s="39">
        <v>80</v>
      </c>
      <c r="D46" s="160">
        <v>200</v>
      </c>
      <c r="E46" s="108">
        <v>227</v>
      </c>
      <c r="F46" s="108">
        <v>438</v>
      </c>
      <c r="G46" s="108">
        <v>298</v>
      </c>
      <c r="H46" s="159">
        <v>100</v>
      </c>
      <c r="I46" s="31">
        <v>118</v>
      </c>
      <c r="J46" s="79">
        <v>200</v>
      </c>
      <c r="K46" s="108">
        <v>127</v>
      </c>
      <c r="L46" s="108">
        <v>60</v>
      </c>
      <c r="M46" s="108">
        <v>118</v>
      </c>
      <c r="N46" s="108">
        <v>89</v>
      </c>
      <c r="O46" s="108">
        <v>60</v>
      </c>
      <c r="P46" s="108">
        <v>88</v>
      </c>
      <c r="Q46" s="73">
        <v>42</v>
      </c>
      <c r="R46" s="108">
        <v>113</v>
      </c>
      <c r="S46" s="158">
        <v>50</v>
      </c>
      <c r="T46" s="108">
        <v>70</v>
      </c>
      <c r="U46" s="108">
        <v>64</v>
      </c>
      <c r="V46" s="108">
        <v>84</v>
      </c>
      <c r="W46" s="129">
        <v>20</v>
      </c>
      <c r="X46" s="108">
        <v>3</v>
      </c>
      <c r="Y46" s="108">
        <v>75</v>
      </c>
      <c r="Z46" s="108">
        <v>4</v>
      </c>
      <c r="AA46" s="108">
        <v>28</v>
      </c>
      <c r="AB46" s="133">
        <v>0</v>
      </c>
      <c r="AC46" s="108">
        <v>6</v>
      </c>
      <c r="AD46" s="76">
        <v>0</v>
      </c>
      <c r="AE46" s="108">
        <v>1</v>
      </c>
    </row>
    <row r="47" spans="1:31" s="49" customFormat="1">
      <c r="A47" s="256" t="s">
        <v>75</v>
      </c>
      <c r="B47" s="257"/>
      <c r="C47" s="257"/>
      <c r="D47" s="52"/>
      <c r="E47" s="51"/>
      <c r="F47" s="51"/>
      <c r="G47" s="51"/>
      <c r="H47" s="258"/>
      <c r="I47" s="54"/>
      <c r="J47" s="54"/>
      <c r="K47" s="54"/>
      <c r="L47" s="257"/>
      <c r="M47" s="54"/>
      <c r="N47" s="54"/>
      <c r="O47" s="51"/>
      <c r="P47" s="54"/>
      <c r="Q47" s="52"/>
      <c r="R47" s="53"/>
      <c r="S47" s="54"/>
      <c r="T47" s="52"/>
      <c r="U47" s="52"/>
      <c r="V47" s="52"/>
      <c r="W47" s="54"/>
      <c r="X47" s="52"/>
      <c r="Y47" s="52"/>
      <c r="Z47" s="258"/>
      <c r="AA47" s="258"/>
      <c r="AB47" s="53"/>
      <c r="AC47" s="258"/>
      <c r="AD47" s="258"/>
      <c r="AE47" s="257"/>
    </row>
    <row r="48" spans="1:31" s="49" customFormat="1">
      <c r="A48" s="56" t="s">
        <v>76</v>
      </c>
      <c r="B48" s="55"/>
      <c r="C48" s="257"/>
      <c r="D48" s="52"/>
      <c r="E48" s="51"/>
      <c r="F48" s="51"/>
      <c r="G48" s="51"/>
      <c r="H48" s="258"/>
      <c r="I48" s="50"/>
      <c r="J48" s="50"/>
      <c r="K48" s="54"/>
      <c r="L48" s="257"/>
      <c r="M48" s="54"/>
      <c r="N48" s="54"/>
      <c r="O48" s="51"/>
      <c r="P48" s="54"/>
      <c r="Q48" s="52"/>
      <c r="R48" s="53"/>
      <c r="S48" s="50"/>
      <c r="T48" s="52"/>
      <c r="U48" s="52"/>
      <c r="V48" s="52"/>
      <c r="W48" s="50"/>
      <c r="X48" s="52"/>
      <c r="Y48" s="52"/>
      <c r="Z48" s="258"/>
      <c r="AA48" s="258"/>
      <c r="AB48" s="53"/>
      <c r="AC48" s="258"/>
      <c r="AD48" s="258"/>
      <c r="AE48" s="257"/>
    </row>
  </sheetData>
  <mergeCells count="17">
    <mergeCell ref="I5:J5"/>
    <mergeCell ref="A1:C1"/>
    <mergeCell ref="A2:C2"/>
    <mergeCell ref="A3:C3"/>
    <mergeCell ref="A4:C4"/>
    <mergeCell ref="E5:G5"/>
    <mergeCell ref="AC8:AD8"/>
    <mergeCell ref="P5:R5"/>
    <mergeCell ref="T5:V5"/>
    <mergeCell ref="X5:AA5"/>
    <mergeCell ref="AC5:AD5"/>
    <mergeCell ref="P7:R7"/>
    <mergeCell ref="T7:V7"/>
    <mergeCell ref="X7:AA8"/>
    <mergeCell ref="AC7:AD7"/>
    <mergeCell ref="P8:R8"/>
    <mergeCell ref="T8:V8"/>
  </mergeCells>
  <conditionalFormatting sqref="E9:G19 P9:R19 T9:V19 E21:G29 P21:R29 T21:V29 E31:G38 P31:R38 T31:V38 E40:G46 P40:R46 T40:V46">
    <cfRule type="expression" dxfId="44" priority="10">
      <formula>AND($C9&lt;=E9, $B9&gt;E9)</formula>
    </cfRule>
    <cfRule type="expression" dxfId="43" priority="11">
      <formula>($B9&lt;=E9)</formula>
    </cfRule>
    <cfRule type="expression" dxfId="42" priority="12">
      <formula>$C9&gt;E9</formula>
    </cfRule>
  </conditionalFormatting>
  <conditionalFormatting sqref="I9:K19 M9:N19 I21:K29 M21:N29 I31:K38 M31:N38 I40:K46 M40:N46">
    <cfRule type="expression" dxfId="41" priority="7">
      <formula>AND($C9&lt;=I9, $B9&gt;I9)</formula>
    </cfRule>
    <cfRule type="expression" dxfId="40" priority="8">
      <formula>($B9&lt;=I9)</formula>
    </cfRule>
    <cfRule type="expression" dxfId="39" priority="9">
      <formula>$C9&gt;I9</formula>
    </cfRule>
  </conditionalFormatting>
  <conditionalFormatting sqref="X9:AA19 X21:AA29 X31:AA38 X40:AA46">
    <cfRule type="expression" dxfId="38" priority="4">
      <formula>AND($C9&lt;=X9, $B9&gt;X9)</formula>
    </cfRule>
    <cfRule type="expression" dxfId="37" priority="5">
      <formula>($B9&lt;=X9)</formula>
    </cfRule>
    <cfRule type="expression" dxfId="36" priority="6">
      <formula>$C9&gt;X9</formula>
    </cfRule>
  </conditionalFormatting>
  <conditionalFormatting sqref="AC9:AE19 AC21:AE29 AC31:AE38 AC40:AE46">
    <cfRule type="expression" dxfId="35" priority="1">
      <formula>AND($C9&lt;=AC9, $B9&gt;AC9)</formula>
    </cfRule>
    <cfRule type="expression" dxfId="34" priority="2">
      <formula>($B9&lt;=AC9)</formula>
    </cfRule>
    <cfRule type="expression" dxfId="33" priority="3">
      <formula>$C9&gt;AC9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448D-73C7-4D30-A506-BFF348C2D3D4}">
  <sheetPr codeName="Sheet1"/>
  <dimension ref="A1:AE48"/>
  <sheetViews>
    <sheetView zoomScale="85" zoomScaleNormal="85" workbookViewId="0">
      <pane xSplit="3" ySplit="4" topLeftCell="U17" activePane="bottomRight" state="frozen"/>
      <selection pane="bottomRight" activeCell="AF43" sqref="AF43"/>
      <selection pane="bottomLeft" activeCell="A5" sqref="A5"/>
      <selection pane="topRight" activeCell="D1" sqref="D1"/>
    </sheetView>
  </sheetViews>
  <sheetFormatPr defaultColWidth="11" defaultRowHeight="15.6"/>
  <cols>
    <col min="1" max="1" width="46.875" customWidth="1"/>
    <col min="2" max="2" width="11.375" style="13" customWidth="1"/>
    <col min="3" max="3" width="13.375" style="13" customWidth="1"/>
    <col min="4" max="4" width="12.5" customWidth="1"/>
    <col min="8" max="8" width="12.125" customWidth="1"/>
    <col min="9" max="9" width="10.75" customWidth="1"/>
    <col min="11" max="11" width="11.875" customWidth="1"/>
    <col min="12" max="12" width="12.875" hidden="1" customWidth="1"/>
    <col min="13" max="14" width="0" hidden="1" customWidth="1"/>
    <col min="15" max="15" width="12.5" customWidth="1"/>
    <col min="19" max="19" width="13.125" customWidth="1"/>
    <col min="23" max="23" width="13.125" customWidth="1"/>
    <col min="28" max="28" width="11.625" customWidth="1"/>
  </cols>
  <sheetData>
    <row r="1" spans="1:31" ht="17.45">
      <c r="A1" s="271" t="s">
        <v>0</v>
      </c>
      <c r="B1" s="271"/>
      <c r="C1" s="277"/>
    </row>
    <row r="2" spans="1:31">
      <c r="A2" s="272" t="s">
        <v>77</v>
      </c>
      <c r="B2" s="272"/>
      <c r="C2" s="277"/>
    </row>
    <row r="3" spans="1:31">
      <c r="A3" s="272" t="s">
        <v>2</v>
      </c>
      <c r="B3" s="272"/>
      <c r="C3" s="277"/>
      <c r="I3" s="211"/>
    </row>
    <row r="4" spans="1:31" ht="12" customHeight="1" thickBot="1">
      <c r="A4" s="273">
        <v>45841</v>
      </c>
      <c r="B4" s="274"/>
      <c r="C4" s="278"/>
      <c r="F4" s="225"/>
      <c r="T4" s="226"/>
    </row>
    <row r="5" spans="1:31" ht="16.149999999999999" thickBot="1">
      <c r="A5" s="215"/>
      <c r="B5" s="9"/>
      <c r="D5" s="229" t="s">
        <v>3</v>
      </c>
      <c r="E5" s="275"/>
      <c r="F5" s="276"/>
      <c r="G5" s="276"/>
      <c r="H5" s="232" t="s">
        <v>4</v>
      </c>
      <c r="I5" s="269"/>
      <c r="J5" s="270"/>
      <c r="K5" s="233"/>
      <c r="L5" s="126" t="s">
        <v>5</v>
      </c>
      <c r="M5" s="220"/>
      <c r="N5" s="221"/>
      <c r="O5" s="126" t="s">
        <v>6</v>
      </c>
      <c r="P5" s="260"/>
      <c r="Q5" s="261"/>
      <c r="R5" s="262"/>
      <c r="S5" s="218" t="s">
        <v>7</v>
      </c>
      <c r="T5" s="263"/>
      <c r="U5" s="264"/>
      <c r="V5" s="265"/>
      <c r="W5" s="241" t="s">
        <v>8</v>
      </c>
      <c r="X5" s="266"/>
      <c r="Y5" s="267"/>
      <c r="Z5" s="267"/>
      <c r="AA5" s="267"/>
      <c r="AB5" s="121" t="s">
        <v>9</v>
      </c>
      <c r="AC5" s="287"/>
      <c r="AD5" s="288"/>
      <c r="AE5" s="216"/>
    </row>
    <row r="6" spans="1:31" ht="18" customHeight="1" thickBot="1">
      <c r="B6" s="10" t="s">
        <v>10</v>
      </c>
      <c r="C6" s="14"/>
      <c r="D6" s="156" t="s">
        <v>11</v>
      </c>
      <c r="E6" s="18" t="s">
        <v>78</v>
      </c>
      <c r="F6" s="19" t="s">
        <v>79</v>
      </c>
      <c r="G6" s="20" t="s">
        <v>80</v>
      </c>
      <c r="H6" s="156" t="s">
        <v>11</v>
      </c>
      <c r="I6" s="5" t="s">
        <v>81</v>
      </c>
      <c r="J6" s="7" t="s">
        <v>82</v>
      </c>
      <c r="K6" s="236" t="s">
        <v>83</v>
      </c>
      <c r="L6" s="156" t="s">
        <v>11</v>
      </c>
      <c r="M6" s="222" t="s">
        <v>18</v>
      </c>
      <c r="N6" s="223" t="s">
        <v>19</v>
      </c>
      <c r="O6" s="237" t="s">
        <v>11</v>
      </c>
      <c r="P6" s="8" t="s">
        <v>84</v>
      </c>
      <c r="Q6" s="6" t="s">
        <v>85</v>
      </c>
      <c r="R6" s="7" t="s">
        <v>86</v>
      </c>
      <c r="S6" s="238" t="s">
        <v>11</v>
      </c>
      <c r="T6" s="8" t="s">
        <v>87</v>
      </c>
      <c r="U6" s="6" t="s">
        <v>88</v>
      </c>
      <c r="V6" s="7" t="s">
        <v>89</v>
      </c>
      <c r="W6" s="237" t="s">
        <v>11</v>
      </c>
      <c r="X6" s="8" t="s">
        <v>90</v>
      </c>
      <c r="Y6" s="6" t="s">
        <v>91</v>
      </c>
      <c r="Z6" s="17" t="s">
        <v>92</v>
      </c>
      <c r="AA6" s="17" t="s">
        <v>93</v>
      </c>
      <c r="AB6" s="156" t="s">
        <v>11</v>
      </c>
      <c r="AC6" s="8" t="s">
        <v>94</v>
      </c>
      <c r="AD6" s="7" t="s">
        <v>95</v>
      </c>
      <c r="AE6" s="212" t="s">
        <v>29</v>
      </c>
    </row>
    <row r="7" spans="1:31" ht="18" customHeight="1" thickTop="1" thickBot="1">
      <c r="A7" s="1" t="s">
        <v>32</v>
      </c>
      <c r="B7" s="11" t="s">
        <v>33</v>
      </c>
      <c r="C7" s="38" t="s">
        <v>34</v>
      </c>
      <c r="D7" s="227" t="s">
        <v>35</v>
      </c>
      <c r="E7" s="40"/>
      <c r="F7" s="41"/>
      <c r="G7" s="41"/>
      <c r="H7" s="230" t="s">
        <v>35</v>
      </c>
      <c r="I7" s="234"/>
      <c r="J7" s="234"/>
      <c r="K7" s="243"/>
      <c r="L7" s="157" t="s">
        <v>35</v>
      </c>
      <c r="M7" s="220"/>
      <c r="N7" s="220"/>
      <c r="O7" s="157" t="s">
        <v>35</v>
      </c>
      <c r="P7" s="279"/>
      <c r="Q7" s="279"/>
      <c r="R7" s="280"/>
      <c r="S7" s="217" t="s">
        <v>35</v>
      </c>
      <c r="T7" s="281"/>
      <c r="U7" s="281"/>
      <c r="V7" s="282"/>
      <c r="W7" s="239" t="s">
        <v>35</v>
      </c>
      <c r="X7" s="268"/>
      <c r="Y7" s="268"/>
      <c r="Z7" s="268"/>
      <c r="AA7" s="268"/>
      <c r="AB7" s="242" t="s">
        <v>35</v>
      </c>
      <c r="AC7" s="289"/>
      <c r="AD7" s="289"/>
      <c r="AE7" s="214"/>
    </row>
    <row r="8" spans="1:31" ht="18" customHeight="1" thickBot="1">
      <c r="A8" s="21" t="s">
        <v>36</v>
      </c>
      <c r="B8" s="12"/>
      <c r="C8" s="2"/>
      <c r="D8" s="228"/>
      <c r="E8" s="42"/>
      <c r="F8" s="43"/>
      <c r="G8" s="43"/>
      <c r="H8" s="231"/>
      <c r="I8" s="235"/>
      <c r="J8" s="235"/>
      <c r="K8" s="244"/>
      <c r="L8" s="178"/>
      <c r="M8" s="224"/>
      <c r="N8" s="224"/>
      <c r="O8" s="178"/>
      <c r="P8" s="283"/>
      <c r="Q8" s="283"/>
      <c r="R8" s="284"/>
      <c r="S8" s="219"/>
      <c r="T8" s="285"/>
      <c r="U8" s="285"/>
      <c r="V8" s="286"/>
      <c r="W8" s="240"/>
      <c r="X8" s="268"/>
      <c r="Y8" s="268"/>
      <c r="Z8" s="268"/>
      <c r="AA8" s="268"/>
      <c r="AB8" s="213"/>
      <c r="AC8" s="290"/>
      <c r="AD8" s="290"/>
      <c r="AE8" s="213"/>
    </row>
    <row r="9" spans="1:31" ht="18" customHeight="1">
      <c r="A9" s="24" t="s">
        <v>37</v>
      </c>
      <c r="B9" s="3">
        <v>130</v>
      </c>
      <c r="C9" s="15">
        <v>60</v>
      </c>
      <c r="D9" s="196">
        <v>300</v>
      </c>
      <c r="E9" s="61">
        <v>226</v>
      </c>
      <c r="F9" s="62">
        <v>238</v>
      </c>
      <c r="G9" s="62">
        <v>229</v>
      </c>
      <c r="H9" s="177">
        <v>200</v>
      </c>
      <c r="I9" s="31">
        <v>105</v>
      </c>
      <c r="J9" s="31">
        <v>88</v>
      </c>
      <c r="K9" s="57">
        <v>102</v>
      </c>
      <c r="L9" s="59">
        <v>100</v>
      </c>
      <c r="M9" s="58">
        <v>135</v>
      </c>
      <c r="N9" s="58">
        <v>85</v>
      </c>
      <c r="O9" s="115">
        <v>100</v>
      </c>
      <c r="P9" s="58">
        <v>57</v>
      </c>
      <c r="Q9" s="59">
        <v>77</v>
      </c>
      <c r="R9" s="59">
        <v>115</v>
      </c>
      <c r="S9" s="186">
        <v>80</v>
      </c>
      <c r="T9" s="59">
        <v>51</v>
      </c>
      <c r="U9" s="59">
        <v>60</v>
      </c>
      <c r="V9" s="59">
        <v>85</v>
      </c>
      <c r="W9" s="123">
        <v>30</v>
      </c>
      <c r="X9" s="59">
        <v>13</v>
      </c>
      <c r="Y9" s="59">
        <v>41</v>
      </c>
      <c r="Z9" s="36">
        <v>15</v>
      </c>
      <c r="AA9" s="36">
        <v>19</v>
      </c>
      <c r="AB9" s="64">
        <v>0</v>
      </c>
      <c r="AC9" s="60">
        <v>0</v>
      </c>
      <c r="AD9" s="36">
        <v>0</v>
      </c>
      <c r="AE9" s="60">
        <v>1</v>
      </c>
    </row>
    <row r="10" spans="1:31" ht="18" customHeight="1">
      <c r="A10" s="24" t="s">
        <v>38</v>
      </c>
      <c r="B10" s="3">
        <v>27</v>
      </c>
      <c r="C10" s="15">
        <v>20</v>
      </c>
      <c r="D10" s="196">
        <v>35</v>
      </c>
      <c r="E10" s="68">
        <v>41</v>
      </c>
      <c r="F10" s="69">
        <v>49</v>
      </c>
      <c r="G10" s="69">
        <v>51</v>
      </c>
      <c r="H10" s="172">
        <v>30</v>
      </c>
      <c r="I10" s="31">
        <v>29</v>
      </c>
      <c r="J10" s="31">
        <v>38</v>
      </c>
      <c r="K10" s="64">
        <v>38</v>
      </c>
      <c r="L10" s="65">
        <v>20</v>
      </c>
      <c r="M10" s="58">
        <v>46</v>
      </c>
      <c r="N10" s="58">
        <v>46</v>
      </c>
      <c r="O10" s="114">
        <v>20</v>
      </c>
      <c r="P10" s="58">
        <v>50</v>
      </c>
      <c r="Q10" s="59">
        <v>31</v>
      </c>
      <c r="R10" s="59">
        <v>48</v>
      </c>
      <c r="S10" s="187">
        <v>20</v>
      </c>
      <c r="T10" s="31">
        <v>34</v>
      </c>
      <c r="U10" s="59">
        <v>27</v>
      </c>
      <c r="V10" s="59">
        <v>29</v>
      </c>
      <c r="W10" s="124">
        <v>5</v>
      </c>
      <c r="X10" s="31">
        <v>3</v>
      </c>
      <c r="Y10" s="59">
        <v>14</v>
      </c>
      <c r="Z10" s="65">
        <v>4</v>
      </c>
      <c r="AA10" s="65">
        <v>3</v>
      </c>
      <c r="AB10" s="64">
        <v>0</v>
      </c>
      <c r="AC10" s="66">
        <v>0</v>
      </c>
      <c r="AD10" s="67">
        <v>0</v>
      </c>
      <c r="AE10" s="66">
        <v>0</v>
      </c>
    </row>
    <row r="11" spans="1:31" ht="18" customHeight="1">
      <c r="A11" s="24" t="s">
        <v>39</v>
      </c>
      <c r="B11" s="3">
        <v>107</v>
      </c>
      <c r="C11" s="15">
        <v>60</v>
      </c>
      <c r="D11" s="196">
        <v>175</v>
      </c>
      <c r="E11" s="68">
        <v>90</v>
      </c>
      <c r="F11" s="69">
        <v>110</v>
      </c>
      <c r="G11" s="62">
        <v>83</v>
      </c>
      <c r="H11" s="168">
        <v>125</v>
      </c>
      <c r="I11" s="31">
        <v>51</v>
      </c>
      <c r="J11" s="31">
        <v>50</v>
      </c>
      <c r="K11" s="58">
        <v>62</v>
      </c>
      <c r="L11" s="59">
        <v>75</v>
      </c>
      <c r="M11" s="58">
        <v>57</v>
      </c>
      <c r="N11" s="58">
        <v>66</v>
      </c>
      <c r="O11" s="190">
        <v>75</v>
      </c>
      <c r="P11" s="58">
        <v>25</v>
      </c>
      <c r="Q11" s="59">
        <v>47</v>
      </c>
      <c r="R11" s="59">
        <v>64</v>
      </c>
      <c r="S11" s="145">
        <v>40</v>
      </c>
      <c r="T11" s="57">
        <v>30</v>
      </c>
      <c r="U11" s="59">
        <v>26</v>
      </c>
      <c r="V11" s="59">
        <v>40</v>
      </c>
      <c r="W11" s="62">
        <v>10</v>
      </c>
      <c r="X11" s="59">
        <v>6</v>
      </c>
      <c r="Y11" s="59">
        <v>9</v>
      </c>
      <c r="Z11" s="66">
        <v>7</v>
      </c>
      <c r="AA11" s="66">
        <v>8</v>
      </c>
      <c r="AB11" s="71">
        <v>5</v>
      </c>
      <c r="AC11" s="66">
        <v>0</v>
      </c>
      <c r="AD11" s="36">
        <v>0</v>
      </c>
      <c r="AE11" s="66">
        <v>0</v>
      </c>
    </row>
    <row r="12" spans="1:31" ht="18" customHeight="1">
      <c r="A12" s="25" t="s">
        <v>40</v>
      </c>
      <c r="B12" s="3">
        <v>34</v>
      </c>
      <c r="C12" s="15">
        <v>10</v>
      </c>
      <c r="D12" s="196">
        <v>45</v>
      </c>
      <c r="E12" s="68">
        <v>16</v>
      </c>
      <c r="F12" s="69">
        <v>28</v>
      </c>
      <c r="G12" s="62">
        <v>10</v>
      </c>
      <c r="H12" s="177">
        <v>35</v>
      </c>
      <c r="I12" s="31">
        <v>6</v>
      </c>
      <c r="J12" s="31">
        <v>2</v>
      </c>
      <c r="K12" s="71">
        <v>6</v>
      </c>
      <c r="L12" s="59">
        <v>15</v>
      </c>
      <c r="M12" s="58">
        <v>13</v>
      </c>
      <c r="N12" s="58">
        <v>9</v>
      </c>
      <c r="O12" s="66">
        <v>15</v>
      </c>
      <c r="P12" s="58">
        <v>5</v>
      </c>
      <c r="Q12" s="59">
        <v>5</v>
      </c>
      <c r="R12" s="59">
        <v>18</v>
      </c>
      <c r="S12" s="188">
        <v>10</v>
      </c>
      <c r="T12" s="59">
        <v>10</v>
      </c>
      <c r="U12" s="59">
        <v>4</v>
      </c>
      <c r="V12" s="59">
        <v>9</v>
      </c>
      <c r="W12" s="62">
        <v>5</v>
      </c>
      <c r="X12" s="59">
        <v>0</v>
      </c>
      <c r="Y12" s="33">
        <v>0</v>
      </c>
      <c r="Z12" s="66">
        <v>1</v>
      </c>
      <c r="AA12" s="66">
        <v>0</v>
      </c>
      <c r="AB12" s="71">
        <v>0</v>
      </c>
      <c r="AC12" s="66">
        <v>0</v>
      </c>
      <c r="AD12" s="36">
        <v>0</v>
      </c>
      <c r="AE12" s="66">
        <v>0</v>
      </c>
    </row>
    <row r="13" spans="1:31" ht="18" customHeight="1" thickBot="1">
      <c r="A13" s="26" t="s">
        <v>41</v>
      </c>
      <c r="B13" s="3">
        <v>31</v>
      </c>
      <c r="C13" s="15">
        <v>10</v>
      </c>
      <c r="D13" s="196">
        <v>25</v>
      </c>
      <c r="E13" s="61">
        <v>31</v>
      </c>
      <c r="F13" s="62">
        <v>69</v>
      </c>
      <c r="G13" s="62">
        <v>56</v>
      </c>
      <c r="H13" s="177">
        <v>25</v>
      </c>
      <c r="I13" s="31">
        <v>21</v>
      </c>
      <c r="J13" s="67">
        <v>13</v>
      </c>
      <c r="K13" s="71">
        <v>15</v>
      </c>
      <c r="L13" s="79">
        <v>20</v>
      </c>
      <c r="M13" s="58">
        <v>14</v>
      </c>
      <c r="N13" s="58">
        <v>16</v>
      </c>
      <c r="O13" s="60">
        <v>20</v>
      </c>
      <c r="P13" s="58">
        <v>21</v>
      </c>
      <c r="Q13" s="59">
        <v>4</v>
      </c>
      <c r="R13" s="59">
        <v>46</v>
      </c>
      <c r="S13" s="145">
        <v>20</v>
      </c>
      <c r="T13" s="59">
        <v>37</v>
      </c>
      <c r="U13" s="59">
        <v>30</v>
      </c>
      <c r="V13" s="59">
        <v>23</v>
      </c>
      <c r="W13" s="181">
        <v>10</v>
      </c>
      <c r="X13" s="59">
        <v>18</v>
      </c>
      <c r="Y13" s="33">
        <v>19</v>
      </c>
      <c r="Z13" s="66">
        <v>27</v>
      </c>
      <c r="AA13" s="66">
        <v>14</v>
      </c>
      <c r="AB13" s="31">
        <v>0</v>
      </c>
      <c r="AC13" s="60">
        <v>0</v>
      </c>
      <c r="AD13" s="36">
        <v>0</v>
      </c>
      <c r="AE13" s="60">
        <v>1</v>
      </c>
    </row>
    <row r="14" spans="1:31" s="4" customFormat="1" ht="18" customHeight="1" thickBot="1">
      <c r="A14" s="27" t="s">
        <v>42</v>
      </c>
      <c r="B14" s="29">
        <v>65</v>
      </c>
      <c r="C14" s="37">
        <v>60</v>
      </c>
      <c r="D14" s="197">
        <v>70</v>
      </c>
      <c r="E14" s="76">
        <f>SUM(E12:E13)</f>
        <v>47</v>
      </c>
      <c r="F14" s="77">
        <f>SUM(F12:F13)</f>
        <v>97</v>
      </c>
      <c r="G14" s="77">
        <f>SUM(G12:G13)</f>
        <v>66</v>
      </c>
      <c r="H14" s="206">
        <v>60</v>
      </c>
      <c r="I14" s="101">
        <f>SUM(I12:I13)</f>
        <v>27</v>
      </c>
      <c r="J14" s="96">
        <f>SUM(J12+J13)</f>
        <v>15</v>
      </c>
      <c r="K14" s="137">
        <f>SUM(K12:K13)</f>
        <v>21</v>
      </c>
      <c r="L14" s="101">
        <v>35</v>
      </c>
      <c r="M14" s="245">
        <f>SUM(M12:M13)</f>
        <v>27</v>
      </c>
      <c r="N14" s="245">
        <f>SUM(N12:N13)</f>
        <v>25</v>
      </c>
      <c r="O14" s="120">
        <v>35</v>
      </c>
      <c r="P14" s="246">
        <f>SUM(P12:P13)</f>
        <v>26</v>
      </c>
      <c r="Q14" s="246">
        <f>SUM(Q12:Q13)</f>
        <v>9</v>
      </c>
      <c r="R14" s="246">
        <f>SUM(R12:R13)</f>
        <v>64</v>
      </c>
      <c r="S14" s="146">
        <v>30</v>
      </c>
      <c r="T14" s="246">
        <f>SUM(T12+T13)</f>
        <v>47</v>
      </c>
      <c r="U14" s="73">
        <f>U12+U13</f>
        <v>34</v>
      </c>
      <c r="V14" s="247">
        <f>SUM(V12:V13)</f>
        <v>32</v>
      </c>
      <c r="W14" s="125">
        <v>15</v>
      </c>
      <c r="X14" s="31">
        <f>SUM(X12:X13)</f>
        <v>18</v>
      </c>
      <c r="Y14" s="73">
        <f>SUM(Y12:Y13)</f>
        <v>19</v>
      </c>
      <c r="Z14" s="74">
        <f>SUM(Z12:Z13)</f>
        <v>28</v>
      </c>
      <c r="AA14" s="74">
        <f>SUM(AA12:AA13)</f>
        <v>14</v>
      </c>
      <c r="AB14" s="101">
        <v>0</v>
      </c>
      <c r="AC14" s="75">
        <f>SUM(AC12:AC13)</f>
        <v>0</v>
      </c>
      <c r="AD14" s="74">
        <f>SUM(AD12:AD13)</f>
        <v>0</v>
      </c>
      <c r="AE14" s="75">
        <f>SUM(AE12:AE13)</f>
        <v>1</v>
      </c>
    </row>
    <row r="15" spans="1:31" ht="18" customHeight="1">
      <c r="A15" s="24" t="s">
        <v>43</v>
      </c>
      <c r="B15" s="3">
        <v>62</v>
      </c>
      <c r="C15" s="15">
        <v>20</v>
      </c>
      <c r="D15" s="179">
        <v>100</v>
      </c>
      <c r="E15" s="68">
        <v>93</v>
      </c>
      <c r="F15" s="69">
        <v>120</v>
      </c>
      <c r="G15" s="69">
        <v>78</v>
      </c>
      <c r="H15" s="177">
        <v>80</v>
      </c>
      <c r="I15" s="31">
        <v>55</v>
      </c>
      <c r="J15" s="79">
        <v>55</v>
      </c>
      <c r="K15" s="57">
        <v>78</v>
      </c>
      <c r="L15" s="59">
        <v>50</v>
      </c>
      <c r="M15" s="58">
        <v>69</v>
      </c>
      <c r="N15" s="58">
        <v>63</v>
      </c>
      <c r="O15" s="143">
        <v>50</v>
      </c>
      <c r="P15" s="71">
        <v>26</v>
      </c>
      <c r="Q15" s="59">
        <v>68</v>
      </c>
      <c r="R15" s="59">
        <v>62</v>
      </c>
      <c r="S15" s="187">
        <v>40</v>
      </c>
      <c r="T15" s="59">
        <v>22</v>
      </c>
      <c r="U15" s="59">
        <v>33</v>
      </c>
      <c r="V15" s="59">
        <v>41</v>
      </c>
      <c r="W15" s="124">
        <v>15</v>
      </c>
      <c r="X15" s="59">
        <v>15</v>
      </c>
      <c r="Y15" s="59">
        <v>28</v>
      </c>
      <c r="Z15" s="67">
        <v>8</v>
      </c>
      <c r="AA15" s="67">
        <v>11</v>
      </c>
      <c r="AB15" s="116">
        <v>3</v>
      </c>
      <c r="AC15" s="66">
        <v>0</v>
      </c>
      <c r="AD15" s="67">
        <v>0</v>
      </c>
      <c r="AE15" s="66">
        <v>1</v>
      </c>
    </row>
    <row r="16" spans="1:31" ht="18" customHeight="1">
      <c r="A16" s="24" t="s">
        <v>44</v>
      </c>
      <c r="B16" s="3">
        <v>22</v>
      </c>
      <c r="C16" s="15">
        <v>10</v>
      </c>
      <c r="D16" s="179">
        <v>20</v>
      </c>
      <c r="E16" s="68">
        <v>26</v>
      </c>
      <c r="F16" s="69">
        <v>35</v>
      </c>
      <c r="G16" s="69">
        <v>23</v>
      </c>
      <c r="H16" s="177">
        <v>15</v>
      </c>
      <c r="I16" s="31">
        <v>13</v>
      </c>
      <c r="J16" s="204">
        <v>23</v>
      </c>
      <c r="K16" s="57">
        <v>27</v>
      </c>
      <c r="L16" s="114">
        <v>10</v>
      </c>
      <c r="M16" s="58">
        <v>17</v>
      </c>
      <c r="N16" s="58">
        <v>13</v>
      </c>
      <c r="O16" s="144">
        <v>10</v>
      </c>
      <c r="P16" s="71">
        <v>15</v>
      </c>
      <c r="Q16" s="59">
        <v>16</v>
      </c>
      <c r="R16" s="59">
        <v>15</v>
      </c>
      <c r="S16" s="187">
        <v>10</v>
      </c>
      <c r="T16" s="79">
        <v>8</v>
      </c>
      <c r="U16" s="79">
        <v>11</v>
      </c>
      <c r="V16" s="59">
        <v>19</v>
      </c>
      <c r="W16" s="124">
        <v>2</v>
      </c>
      <c r="X16" s="57">
        <v>2</v>
      </c>
      <c r="Y16" s="67">
        <v>4</v>
      </c>
      <c r="Z16" s="67">
        <v>1</v>
      </c>
      <c r="AA16" s="67">
        <v>0</v>
      </c>
      <c r="AB16" s="133">
        <v>0</v>
      </c>
      <c r="AC16" s="66">
        <v>0</v>
      </c>
      <c r="AD16" s="67">
        <v>0</v>
      </c>
      <c r="AE16" s="66">
        <v>0</v>
      </c>
    </row>
    <row r="17" spans="1:31" ht="18" customHeight="1">
      <c r="A17" s="24" t="s">
        <v>45</v>
      </c>
      <c r="B17" s="3">
        <v>14</v>
      </c>
      <c r="C17" s="15">
        <v>10</v>
      </c>
      <c r="D17" s="170">
        <v>15</v>
      </c>
      <c r="E17" s="68">
        <v>13</v>
      </c>
      <c r="F17" s="69">
        <v>41</v>
      </c>
      <c r="G17" s="69">
        <v>22</v>
      </c>
      <c r="H17" s="176">
        <v>15</v>
      </c>
      <c r="I17" s="31">
        <v>15</v>
      </c>
      <c r="J17" s="57">
        <v>32</v>
      </c>
      <c r="K17" s="57">
        <v>14</v>
      </c>
      <c r="L17" s="67">
        <v>15</v>
      </c>
      <c r="M17" s="58">
        <v>20</v>
      </c>
      <c r="N17" s="79">
        <v>19</v>
      </c>
      <c r="O17" s="66">
        <v>15</v>
      </c>
      <c r="P17" s="104">
        <v>21</v>
      </c>
      <c r="Q17" s="31">
        <v>11</v>
      </c>
      <c r="R17" s="33">
        <v>4</v>
      </c>
      <c r="S17" s="187">
        <v>15</v>
      </c>
      <c r="T17" s="31">
        <v>3</v>
      </c>
      <c r="U17" s="79">
        <v>10</v>
      </c>
      <c r="V17" s="79">
        <v>7</v>
      </c>
      <c r="W17" s="182">
        <v>10</v>
      </c>
      <c r="X17" s="31">
        <v>1</v>
      </c>
      <c r="Y17" s="59">
        <v>0</v>
      </c>
      <c r="Z17" s="66">
        <v>0</v>
      </c>
      <c r="AA17" s="66">
        <v>2</v>
      </c>
      <c r="AB17" s="57">
        <v>0</v>
      </c>
      <c r="AC17" s="66">
        <v>0</v>
      </c>
      <c r="AD17" s="67">
        <v>0</v>
      </c>
      <c r="AE17" s="66">
        <v>0</v>
      </c>
    </row>
    <row r="18" spans="1:31" ht="18" customHeight="1" thickBot="1">
      <c r="A18" s="24" t="s">
        <v>46</v>
      </c>
      <c r="B18" s="3">
        <v>19</v>
      </c>
      <c r="C18" s="15">
        <v>10</v>
      </c>
      <c r="D18" s="179">
        <v>30</v>
      </c>
      <c r="E18" s="68">
        <v>24</v>
      </c>
      <c r="F18" s="69">
        <v>81</v>
      </c>
      <c r="G18" s="69">
        <v>27</v>
      </c>
      <c r="H18" s="170">
        <v>20</v>
      </c>
      <c r="I18" s="31">
        <v>23</v>
      </c>
      <c r="J18" s="204">
        <v>36</v>
      </c>
      <c r="K18" s="57">
        <v>11</v>
      </c>
      <c r="L18" s="59">
        <v>10</v>
      </c>
      <c r="M18" s="58">
        <v>13</v>
      </c>
      <c r="N18" s="58">
        <v>21</v>
      </c>
      <c r="O18" s="65">
        <v>10</v>
      </c>
      <c r="P18" s="71">
        <v>47</v>
      </c>
      <c r="Q18" s="79">
        <v>25</v>
      </c>
      <c r="R18" s="31">
        <v>24</v>
      </c>
      <c r="S18" s="187">
        <v>10</v>
      </c>
      <c r="T18" s="31">
        <v>3</v>
      </c>
      <c r="U18" s="79">
        <v>11</v>
      </c>
      <c r="V18" s="79">
        <v>18</v>
      </c>
      <c r="W18" s="124">
        <v>5</v>
      </c>
      <c r="X18" s="59">
        <v>3</v>
      </c>
      <c r="Y18" s="31">
        <v>0</v>
      </c>
      <c r="Z18" s="67">
        <v>0</v>
      </c>
      <c r="AA18" s="67">
        <v>3</v>
      </c>
      <c r="AB18" s="133">
        <v>0</v>
      </c>
      <c r="AC18" s="59">
        <v>0</v>
      </c>
      <c r="AD18" s="65">
        <v>0</v>
      </c>
      <c r="AE18" s="59">
        <v>0</v>
      </c>
    </row>
    <row r="19" spans="1:31" s="4" customFormat="1" ht="18" customHeight="1" thickBot="1">
      <c r="A19" s="27" t="s">
        <v>47</v>
      </c>
      <c r="B19" s="29">
        <f>SUM(B9+B10+B11+B12+B13+B15+B16+B17+B18)</f>
        <v>446</v>
      </c>
      <c r="C19" s="37">
        <v>300</v>
      </c>
      <c r="D19" s="198">
        <v>745</v>
      </c>
      <c r="E19" s="76">
        <f>SUM(E15:E18,E13,E12,E11,E10,E9)</f>
        <v>560</v>
      </c>
      <c r="F19" s="77">
        <f>SUM(F15:F18,F13,F12,F11,F10,F9)</f>
        <v>771</v>
      </c>
      <c r="G19" s="77">
        <f>SUM(G15:G18,G13,G12,G11,G10,G9)</f>
        <v>579</v>
      </c>
      <c r="H19" s="175">
        <v>545</v>
      </c>
      <c r="I19" s="101">
        <f>SUM(I15:I18,I13,I12,I11,I10,I9)</f>
        <v>318</v>
      </c>
      <c r="J19" s="73">
        <f>SUM(J9:J13,J15,J16,J17,J18)</f>
        <v>337</v>
      </c>
      <c r="K19" s="248">
        <f>SUM(K15:K18,K11,K10,K9,K12,K13)</f>
        <v>353</v>
      </c>
      <c r="L19" s="80">
        <v>315</v>
      </c>
      <c r="M19" s="248">
        <f>SUM(M15:M18,M13,M12,M11,M10,M9)</f>
        <v>384</v>
      </c>
      <c r="N19" s="248">
        <f>SUM(N15:N18,N13,N12,N11,N10,N9)</f>
        <v>338</v>
      </c>
      <c r="O19" s="191">
        <v>315</v>
      </c>
      <c r="P19" s="118">
        <f>SUM(P15:P18,P13,P12,P11,P10,P9)</f>
        <v>267</v>
      </c>
      <c r="Q19" s="81">
        <f>SUM(Q15:Q18,Q13,Q12,Q11,Q10,Q9)</f>
        <v>284</v>
      </c>
      <c r="R19" s="82">
        <f>SUM(R15:R18,R13,R12,R11,R10,R9)</f>
        <v>396</v>
      </c>
      <c r="S19" s="147">
        <v>245</v>
      </c>
      <c r="T19" s="81">
        <f>SUM(T9,T10,T11,T12,T13,T15,T16,T17,T18)</f>
        <v>198</v>
      </c>
      <c r="U19" s="81">
        <f t="shared" ref="U19:V19" si="0">SUM(U9,U10,U11,U12,U13,U15,U16,U17,U18)</f>
        <v>212</v>
      </c>
      <c r="V19" s="81">
        <f t="shared" si="0"/>
        <v>271</v>
      </c>
      <c r="W19" s="125">
        <v>92</v>
      </c>
      <c r="X19" s="73">
        <f>SUM(X15:X18,X13,X12,X11,X10,X9)</f>
        <v>61</v>
      </c>
      <c r="Y19" s="35">
        <f>SUM(Y15:Y18,Y13,Y12,Y11,Y10,Y9)</f>
        <v>115</v>
      </c>
      <c r="Z19" s="74">
        <f>SUM(Z15:Z18,Z13,Z12,Z11,Z10,Z9)</f>
        <v>63</v>
      </c>
      <c r="AA19" s="74">
        <f>SUM(AA15:AA18,AA13,AA12,AA11,AA10,AA9)</f>
        <v>60</v>
      </c>
      <c r="AB19" s="134">
        <v>8</v>
      </c>
      <c r="AC19" s="75">
        <f>SUM(AC15:AC18,AC13,AC12,AC11,AC10,AC9)</f>
        <v>0</v>
      </c>
      <c r="AD19" s="74">
        <f>SUM(AD15:AD18,AD13,AD12,AD11,AD10,AD9)</f>
        <v>0</v>
      </c>
      <c r="AE19" s="75">
        <f>SUM(AE15:AE18,AE13,AE12,AE11,AE10,AE9)</f>
        <v>3</v>
      </c>
    </row>
    <row r="20" spans="1:31" ht="18" customHeight="1" thickTop="1">
      <c r="A20" s="28" t="s">
        <v>48</v>
      </c>
      <c r="B20" s="31"/>
      <c r="C20" s="31"/>
      <c r="D20" s="174"/>
      <c r="E20" s="149"/>
      <c r="F20" s="62"/>
      <c r="G20" s="62"/>
      <c r="H20" s="171"/>
      <c r="I20" s="64"/>
      <c r="J20" s="96"/>
      <c r="K20" s="104"/>
      <c r="L20" s="115"/>
      <c r="M20" s="33"/>
      <c r="N20" s="36"/>
      <c r="O20" s="115"/>
      <c r="P20" s="155"/>
      <c r="Q20" s="115"/>
      <c r="R20" s="155"/>
      <c r="S20" s="150"/>
      <c r="T20" s="155"/>
      <c r="U20" s="104"/>
      <c r="V20" s="83"/>
      <c r="W20" s="140"/>
      <c r="X20" s="32"/>
      <c r="Y20" s="33"/>
      <c r="Z20" s="36"/>
      <c r="AA20" s="36"/>
      <c r="AB20" s="135"/>
      <c r="AC20" s="60"/>
      <c r="AD20" s="36"/>
      <c r="AE20" s="60"/>
    </row>
    <row r="21" spans="1:31" ht="17.45" customHeight="1">
      <c r="A21" s="24" t="s">
        <v>49</v>
      </c>
      <c r="B21" s="3">
        <v>64</v>
      </c>
      <c r="C21" s="15">
        <v>30</v>
      </c>
      <c r="D21" s="179">
        <v>50</v>
      </c>
      <c r="E21" s="68">
        <v>27</v>
      </c>
      <c r="F21" s="69">
        <v>29</v>
      </c>
      <c r="G21" s="69">
        <v>17</v>
      </c>
      <c r="H21" s="194">
        <v>40</v>
      </c>
      <c r="I21" s="31">
        <v>16</v>
      </c>
      <c r="J21" s="79">
        <v>13</v>
      </c>
      <c r="K21" s="57">
        <v>11</v>
      </c>
      <c r="L21" s="67">
        <v>20</v>
      </c>
      <c r="M21" s="79">
        <v>14</v>
      </c>
      <c r="N21" s="67">
        <v>18</v>
      </c>
      <c r="O21" s="141">
        <v>20</v>
      </c>
      <c r="P21" s="31">
        <v>3</v>
      </c>
      <c r="Q21" s="31">
        <v>6</v>
      </c>
      <c r="R21" s="84">
        <v>7</v>
      </c>
      <c r="S21" s="67">
        <v>20</v>
      </c>
      <c r="T21" s="31">
        <v>1</v>
      </c>
      <c r="U21" s="31">
        <v>3</v>
      </c>
      <c r="V21" s="79">
        <v>2</v>
      </c>
      <c r="W21" s="124">
        <v>5</v>
      </c>
      <c r="X21" s="31">
        <v>0</v>
      </c>
      <c r="Y21" s="31">
        <v>0</v>
      </c>
      <c r="Z21" s="67">
        <v>0</v>
      </c>
      <c r="AA21" s="67">
        <v>2</v>
      </c>
      <c r="AB21" s="116">
        <v>0</v>
      </c>
      <c r="AC21" s="66">
        <v>0</v>
      </c>
      <c r="AD21" s="67">
        <v>0</v>
      </c>
      <c r="AE21" s="66">
        <v>0</v>
      </c>
    </row>
    <row r="22" spans="1:31" ht="18" customHeight="1">
      <c r="A22" s="24" t="s">
        <v>50</v>
      </c>
      <c r="B22" s="3">
        <v>69</v>
      </c>
      <c r="C22" s="15">
        <v>30</v>
      </c>
      <c r="D22" s="179">
        <v>60</v>
      </c>
      <c r="E22" s="68">
        <v>67</v>
      </c>
      <c r="F22" s="69">
        <v>85</v>
      </c>
      <c r="G22" s="69">
        <v>69</v>
      </c>
      <c r="H22" s="170">
        <v>50</v>
      </c>
      <c r="I22" s="31">
        <v>37</v>
      </c>
      <c r="J22" s="79">
        <v>28</v>
      </c>
      <c r="K22" s="64">
        <v>36</v>
      </c>
      <c r="L22" s="67">
        <v>40</v>
      </c>
      <c r="M22" s="57">
        <v>31</v>
      </c>
      <c r="N22" s="85">
        <v>25</v>
      </c>
      <c r="O22" s="141">
        <v>40</v>
      </c>
      <c r="P22" s="31">
        <v>24</v>
      </c>
      <c r="Q22" s="31">
        <v>35</v>
      </c>
      <c r="R22" s="31">
        <v>27</v>
      </c>
      <c r="S22" s="189">
        <v>30</v>
      </c>
      <c r="T22" s="31">
        <v>13</v>
      </c>
      <c r="U22" s="31">
        <v>15</v>
      </c>
      <c r="V22" s="79">
        <v>11</v>
      </c>
      <c r="W22" s="124">
        <v>10</v>
      </c>
      <c r="X22" s="31">
        <v>2</v>
      </c>
      <c r="Y22" s="31">
        <v>12</v>
      </c>
      <c r="Z22" s="67">
        <v>0</v>
      </c>
      <c r="AA22" s="67">
        <v>2</v>
      </c>
      <c r="AB22" s="116">
        <v>0</v>
      </c>
      <c r="AC22" s="66">
        <v>0</v>
      </c>
      <c r="AD22" s="67">
        <v>0</v>
      </c>
      <c r="AE22" s="66">
        <v>0</v>
      </c>
    </row>
    <row r="23" spans="1:31" ht="28.5" customHeight="1">
      <c r="A23" s="24" t="s">
        <v>51</v>
      </c>
      <c r="B23" s="3">
        <v>145</v>
      </c>
      <c r="C23" s="15">
        <v>30</v>
      </c>
      <c r="D23" s="179">
        <v>125</v>
      </c>
      <c r="E23" s="68">
        <v>149</v>
      </c>
      <c r="F23" s="69">
        <v>109</v>
      </c>
      <c r="G23" s="69">
        <v>107</v>
      </c>
      <c r="H23" s="170">
        <v>100</v>
      </c>
      <c r="I23" s="31">
        <v>72</v>
      </c>
      <c r="J23" s="204">
        <v>27</v>
      </c>
      <c r="K23" s="64">
        <v>55</v>
      </c>
      <c r="L23" s="59">
        <v>60</v>
      </c>
      <c r="M23" s="57">
        <v>41</v>
      </c>
      <c r="N23" s="85">
        <v>52</v>
      </c>
      <c r="O23" s="141">
        <v>60</v>
      </c>
      <c r="P23" s="31">
        <v>48</v>
      </c>
      <c r="Q23" s="31">
        <v>29</v>
      </c>
      <c r="R23" s="31">
        <v>25</v>
      </c>
      <c r="S23" s="189">
        <v>50</v>
      </c>
      <c r="T23" s="31">
        <v>6</v>
      </c>
      <c r="U23" s="59">
        <v>18</v>
      </c>
      <c r="V23" s="79">
        <v>18</v>
      </c>
      <c r="W23" s="124">
        <v>10</v>
      </c>
      <c r="X23" s="59">
        <v>0</v>
      </c>
      <c r="Y23" s="31">
        <v>10</v>
      </c>
      <c r="Z23" s="67">
        <v>0</v>
      </c>
      <c r="AA23" s="67">
        <v>3</v>
      </c>
      <c r="AB23" s="133">
        <v>0</v>
      </c>
      <c r="AC23" s="66">
        <v>0</v>
      </c>
      <c r="AD23" s="67">
        <v>0</v>
      </c>
      <c r="AE23" s="66">
        <v>0</v>
      </c>
    </row>
    <row r="24" spans="1:31" ht="18" customHeight="1">
      <c r="A24" s="24" t="s">
        <v>52</v>
      </c>
      <c r="B24" s="3">
        <v>100</v>
      </c>
      <c r="C24" s="15">
        <v>30</v>
      </c>
      <c r="D24" s="179">
        <v>100</v>
      </c>
      <c r="E24" s="68">
        <v>81</v>
      </c>
      <c r="F24" s="69">
        <v>124</v>
      </c>
      <c r="G24" s="69">
        <v>101</v>
      </c>
      <c r="H24" s="172">
        <v>80</v>
      </c>
      <c r="I24" s="31">
        <v>59</v>
      </c>
      <c r="J24" s="79">
        <v>56</v>
      </c>
      <c r="K24" s="64">
        <v>77</v>
      </c>
      <c r="L24" s="59">
        <v>60</v>
      </c>
      <c r="M24" s="57">
        <v>49</v>
      </c>
      <c r="N24" s="85">
        <v>42</v>
      </c>
      <c r="O24" s="141">
        <v>60</v>
      </c>
      <c r="P24" s="31">
        <v>43</v>
      </c>
      <c r="Q24" s="31">
        <v>54</v>
      </c>
      <c r="R24" s="31">
        <v>58</v>
      </c>
      <c r="S24" s="189">
        <v>50</v>
      </c>
      <c r="T24" s="59">
        <v>13</v>
      </c>
      <c r="U24" s="31">
        <v>30</v>
      </c>
      <c r="V24" s="59">
        <v>19</v>
      </c>
      <c r="W24" s="124">
        <v>10</v>
      </c>
      <c r="X24" s="59">
        <v>2</v>
      </c>
      <c r="Y24" s="59">
        <v>6</v>
      </c>
      <c r="Z24" s="67">
        <v>3</v>
      </c>
      <c r="AA24" s="67">
        <v>6</v>
      </c>
      <c r="AB24" s="116">
        <v>0</v>
      </c>
      <c r="AC24" s="66">
        <v>0</v>
      </c>
      <c r="AD24" s="67">
        <v>0</v>
      </c>
      <c r="AE24" s="66">
        <v>0</v>
      </c>
    </row>
    <row r="25" spans="1:31" ht="18" customHeight="1" thickBot="1">
      <c r="A25" s="25" t="s">
        <v>53</v>
      </c>
      <c r="B25" s="3">
        <v>24</v>
      </c>
      <c r="C25" s="15">
        <v>10</v>
      </c>
      <c r="D25" s="170">
        <v>10</v>
      </c>
      <c r="E25" s="130">
        <v>14</v>
      </c>
      <c r="F25" s="89">
        <v>14</v>
      </c>
      <c r="G25" s="89">
        <v>10</v>
      </c>
      <c r="H25" s="165">
        <v>10</v>
      </c>
      <c r="I25" s="31">
        <v>4</v>
      </c>
      <c r="J25" s="204">
        <v>0</v>
      </c>
      <c r="K25" s="110">
        <v>2</v>
      </c>
      <c r="L25" s="59">
        <v>10</v>
      </c>
      <c r="M25" s="31">
        <v>1</v>
      </c>
      <c r="N25" s="67">
        <v>12</v>
      </c>
      <c r="O25" s="192">
        <v>10</v>
      </c>
      <c r="P25" s="31">
        <v>6</v>
      </c>
      <c r="Q25" s="31">
        <v>9</v>
      </c>
      <c r="R25" s="84">
        <v>6</v>
      </c>
      <c r="S25" s="179">
        <v>10</v>
      </c>
      <c r="T25" s="31">
        <v>1</v>
      </c>
      <c r="U25" s="31">
        <v>6</v>
      </c>
      <c r="V25" s="59">
        <v>3</v>
      </c>
      <c r="W25" s="69">
        <v>5</v>
      </c>
      <c r="X25" s="59">
        <v>0</v>
      </c>
      <c r="Y25" s="31">
        <v>0</v>
      </c>
      <c r="Z25" s="67">
        <v>1</v>
      </c>
      <c r="AA25" s="67">
        <v>0</v>
      </c>
      <c r="AB25" s="133">
        <v>0</v>
      </c>
      <c r="AC25" s="87">
        <v>0</v>
      </c>
      <c r="AD25" s="65">
        <v>0</v>
      </c>
      <c r="AE25" s="87">
        <v>0</v>
      </c>
    </row>
    <row r="26" spans="1:31" s="4" customFormat="1" ht="18" customHeight="1" thickBot="1">
      <c r="A26" s="27" t="s">
        <v>54</v>
      </c>
      <c r="B26" s="29">
        <f>SUM(B21:B25)</f>
        <v>402</v>
      </c>
      <c r="C26" s="37">
        <v>300</v>
      </c>
      <c r="D26" s="199">
        <v>345</v>
      </c>
      <c r="E26" s="131">
        <f>SUM(E21:E25)</f>
        <v>338</v>
      </c>
      <c r="F26" s="77">
        <f>SUM(F21:F25)</f>
        <v>361</v>
      </c>
      <c r="G26" s="77">
        <f>SUM(G21:G25)</f>
        <v>304</v>
      </c>
      <c r="H26" s="173">
        <v>280</v>
      </c>
      <c r="I26" s="103">
        <f>SUM(I21:I25)</f>
        <v>188</v>
      </c>
      <c r="J26" s="117">
        <f>SUM(J21:J25)</f>
        <v>124</v>
      </c>
      <c r="K26" s="136">
        <f>SUM(K21:K25)</f>
        <v>181</v>
      </c>
      <c r="L26" s="74">
        <v>190</v>
      </c>
      <c r="M26" s="90">
        <f>SUM(M21:M25)</f>
        <v>136</v>
      </c>
      <c r="N26" s="91">
        <f>SUM(N21:N25)</f>
        <v>149</v>
      </c>
      <c r="O26" s="153">
        <v>190</v>
      </c>
      <c r="P26" s="92">
        <f>SUM(P21:P25)</f>
        <v>124</v>
      </c>
      <c r="Q26" s="93">
        <f>SUM(Q21:Q25)</f>
        <v>133</v>
      </c>
      <c r="R26" s="94">
        <f>SUM(R21:R25)</f>
        <v>123</v>
      </c>
      <c r="S26" s="101">
        <v>160</v>
      </c>
      <c r="T26" s="90">
        <f>SUM(T21:T25)</f>
        <v>34</v>
      </c>
      <c r="U26" s="73">
        <f>SUM(U21:U25)</f>
        <v>72</v>
      </c>
      <c r="V26" s="94">
        <f>SUM(V21:V25)</f>
        <v>53</v>
      </c>
      <c r="W26" s="100">
        <v>40</v>
      </c>
      <c r="X26" s="73">
        <f>SUM(X21:X25)</f>
        <v>4</v>
      </c>
      <c r="Y26" s="73">
        <f>SUM(Y21:Y25)</f>
        <v>28</v>
      </c>
      <c r="Z26" s="74">
        <f>SUM(Z21:Z25)</f>
        <v>4</v>
      </c>
      <c r="AA26" s="74">
        <f>SUM(AA21:AA25)</f>
        <v>13</v>
      </c>
      <c r="AB26" s="138">
        <v>0</v>
      </c>
      <c r="AC26" s="75">
        <f>SUM(AC21:AC25)</f>
        <v>0</v>
      </c>
      <c r="AD26" s="74">
        <f>SUM(AD21:AD25)</f>
        <v>0</v>
      </c>
      <c r="AE26" s="75">
        <f>SUM(AE21:AE25)</f>
        <v>0</v>
      </c>
    </row>
    <row r="27" spans="1:31" s="22" customFormat="1" ht="18" customHeight="1" thickBot="1">
      <c r="A27" s="249" t="s">
        <v>55</v>
      </c>
      <c r="B27" s="29">
        <v>18</v>
      </c>
      <c r="C27" s="37">
        <v>10</v>
      </c>
      <c r="D27" s="161">
        <v>20</v>
      </c>
      <c r="E27" s="132">
        <v>15</v>
      </c>
      <c r="F27" s="69">
        <v>27</v>
      </c>
      <c r="G27" s="69">
        <v>23</v>
      </c>
      <c r="H27" s="172">
        <v>20</v>
      </c>
      <c r="I27" s="33">
        <v>13</v>
      </c>
      <c r="J27" s="36">
        <v>16</v>
      </c>
      <c r="K27" s="137">
        <v>22</v>
      </c>
      <c r="L27" s="154">
        <v>10</v>
      </c>
      <c r="M27" s="33">
        <v>15</v>
      </c>
      <c r="N27" s="32">
        <v>17</v>
      </c>
      <c r="O27" s="65">
        <v>10</v>
      </c>
      <c r="P27" s="31">
        <v>19</v>
      </c>
      <c r="Q27" s="31">
        <v>20</v>
      </c>
      <c r="R27" s="67">
        <v>25</v>
      </c>
      <c r="S27" s="183">
        <v>10</v>
      </c>
      <c r="T27" s="65">
        <v>11</v>
      </c>
      <c r="U27" s="59">
        <v>6</v>
      </c>
      <c r="V27" s="59">
        <v>8</v>
      </c>
      <c r="W27" s="69">
        <v>5</v>
      </c>
      <c r="X27" s="59">
        <v>9</v>
      </c>
      <c r="Y27" s="59">
        <v>3</v>
      </c>
      <c r="Z27" s="67">
        <v>0</v>
      </c>
      <c r="AA27" s="67">
        <v>2</v>
      </c>
      <c r="AB27" s="207">
        <v>0</v>
      </c>
      <c r="AC27" s="95">
        <v>0</v>
      </c>
      <c r="AD27" s="95">
        <v>0</v>
      </c>
      <c r="AE27" s="95">
        <v>0</v>
      </c>
    </row>
    <row r="28" spans="1:31" s="22" customFormat="1" ht="18" customHeight="1" thickBot="1">
      <c r="A28" s="250" t="s">
        <v>56</v>
      </c>
      <c r="B28" s="29">
        <v>11</v>
      </c>
      <c r="C28" s="37">
        <v>10</v>
      </c>
      <c r="D28" s="161">
        <v>15</v>
      </c>
      <c r="E28" s="69">
        <v>10</v>
      </c>
      <c r="F28" s="69">
        <v>14</v>
      </c>
      <c r="G28" s="69">
        <v>15</v>
      </c>
      <c r="H28" s="172">
        <v>15</v>
      </c>
      <c r="I28" s="31">
        <v>11</v>
      </c>
      <c r="J28" s="67">
        <v>3</v>
      </c>
      <c r="K28" s="79">
        <v>0</v>
      </c>
      <c r="L28" s="85">
        <v>15</v>
      </c>
      <c r="M28" s="31">
        <v>0</v>
      </c>
      <c r="N28" s="57">
        <v>7</v>
      </c>
      <c r="O28" s="65">
        <v>15</v>
      </c>
      <c r="P28" s="31">
        <v>1</v>
      </c>
      <c r="Q28" s="31">
        <v>7</v>
      </c>
      <c r="R28" s="67">
        <v>4</v>
      </c>
      <c r="S28" s="67">
        <v>15</v>
      </c>
      <c r="T28" s="65">
        <v>2</v>
      </c>
      <c r="U28" s="59">
        <v>7</v>
      </c>
      <c r="V28" s="59">
        <v>12</v>
      </c>
      <c r="W28" s="183">
        <v>10</v>
      </c>
      <c r="X28" s="96">
        <v>1</v>
      </c>
      <c r="Y28" s="59">
        <v>0</v>
      </c>
      <c r="Z28" s="67">
        <v>4</v>
      </c>
      <c r="AA28" s="67">
        <v>5</v>
      </c>
      <c r="AB28" s="36">
        <v>0</v>
      </c>
      <c r="AC28" s="65">
        <v>0</v>
      </c>
      <c r="AD28" s="67">
        <v>0</v>
      </c>
      <c r="AE28" s="65">
        <v>0</v>
      </c>
    </row>
    <row r="29" spans="1:31" s="22" customFormat="1" ht="18" customHeight="1" thickBot="1">
      <c r="A29" s="249" t="s">
        <v>57</v>
      </c>
      <c r="B29" s="29">
        <v>48</v>
      </c>
      <c r="C29" s="37">
        <v>20</v>
      </c>
      <c r="D29" s="161">
        <v>75</v>
      </c>
      <c r="E29" s="69">
        <v>39</v>
      </c>
      <c r="F29" s="69">
        <v>125</v>
      </c>
      <c r="G29" s="69">
        <v>97</v>
      </c>
      <c r="H29" s="170">
        <v>75</v>
      </c>
      <c r="I29" s="31">
        <v>82</v>
      </c>
      <c r="J29" s="67">
        <v>127</v>
      </c>
      <c r="K29" s="79">
        <v>110</v>
      </c>
      <c r="L29" s="119">
        <v>50</v>
      </c>
      <c r="M29" s="31">
        <v>66</v>
      </c>
      <c r="N29" s="57">
        <v>63</v>
      </c>
      <c r="O29" s="31">
        <v>50</v>
      </c>
      <c r="P29" s="31">
        <v>85</v>
      </c>
      <c r="Q29" s="31">
        <v>88</v>
      </c>
      <c r="R29" s="67">
        <v>58</v>
      </c>
      <c r="S29" s="67">
        <v>40</v>
      </c>
      <c r="T29" s="65">
        <v>32</v>
      </c>
      <c r="U29" s="59">
        <v>41</v>
      </c>
      <c r="V29" s="59">
        <v>43</v>
      </c>
      <c r="W29" s="183">
        <v>20</v>
      </c>
      <c r="X29" s="97">
        <v>23</v>
      </c>
      <c r="Y29" s="79">
        <v>30</v>
      </c>
      <c r="Z29" s="67">
        <v>20</v>
      </c>
      <c r="AA29" s="67">
        <v>16</v>
      </c>
      <c r="AB29" s="67">
        <v>0</v>
      </c>
      <c r="AC29" s="65">
        <v>2</v>
      </c>
      <c r="AD29" s="67">
        <v>0</v>
      </c>
      <c r="AE29" s="65">
        <v>0</v>
      </c>
    </row>
    <row r="30" spans="1:31" ht="18" customHeight="1" thickBot="1">
      <c r="A30" s="251" t="s">
        <v>58</v>
      </c>
      <c r="B30" s="31"/>
      <c r="C30" s="31"/>
      <c r="D30" s="171"/>
      <c r="E30" s="149"/>
      <c r="F30" s="62"/>
      <c r="G30" s="62"/>
      <c r="H30" s="165"/>
      <c r="I30" s="64"/>
      <c r="J30" s="35"/>
      <c r="K30" s="64"/>
      <c r="L30" s="31"/>
      <c r="M30" s="31"/>
      <c r="N30" s="79"/>
      <c r="O30" s="116"/>
      <c r="P30" s="64"/>
      <c r="Q30" s="33"/>
      <c r="R30" s="36"/>
      <c r="S30" s="116"/>
      <c r="T30" s="104"/>
      <c r="U30" s="33"/>
      <c r="V30" s="36"/>
      <c r="W30" s="139"/>
      <c r="X30" s="104"/>
      <c r="Y30" s="33"/>
      <c r="Z30" s="36"/>
      <c r="AA30" s="36"/>
      <c r="AB30" s="135"/>
      <c r="AC30" s="152"/>
      <c r="AD30" s="36"/>
      <c r="AE30" s="152"/>
    </row>
    <row r="31" spans="1:31" ht="18" customHeight="1">
      <c r="A31" s="24" t="s">
        <v>59</v>
      </c>
      <c r="B31" s="3">
        <v>11</v>
      </c>
      <c r="C31" s="15">
        <v>10</v>
      </c>
      <c r="D31" s="164">
        <v>10</v>
      </c>
      <c r="E31" s="68">
        <v>5</v>
      </c>
      <c r="F31" s="69">
        <v>24</v>
      </c>
      <c r="G31" s="69">
        <v>12</v>
      </c>
      <c r="H31" s="163">
        <v>10</v>
      </c>
      <c r="I31" s="31">
        <v>12</v>
      </c>
      <c r="J31" s="31">
        <v>0</v>
      </c>
      <c r="K31" s="31">
        <v>10</v>
      </c>
      <c r="L31" s="67">
        <v>10</v>
      </c>
      <c r="M31" s="31">
        <v>5</v>
      </c>
      <c r="N31" s="79">
        <v>5</v>
      </c>
      <c r="O31" s="67">
        <v>10</v>
      </c>
      <c r="P31" s="57">
        <v>2</v>
      </c>
      <c r="Q31" s="31">
        <v>7</v>
      </c>
      <c r="R31" s="79">
        <v>5</v>
      </c>
      <c r="S31" s="69">
        <v>10</v>
      </c>
      <c r="T31" s="31">
        <v>13</v>
      </c>
      <c r="U31" s="31">
        <v>2</v>
      </c>
      <c r="V31" s="79">
        <v>1</v>
      </c>
      <c r="W31" s="182">
        <v>10</v>
      </c>
      <c r="X31" s="31">
        <v>0</v>
      </c>
      <c r="Y31" s="31">
        <v>0</v>
      </c>
      <c r="Z31" s="67">
        <v>8</v>
      </c>
      <c r="AA31" s="67">
        <v>4</v>
      </c>
      <c r="AB31" s="179">
        <v>10</v>
      </c>
      <c r="AC31" s="67">
        <v>0</v>
      </c>
      <c r="AD31" s="142">
        <v>0</v>
      </c>
      <c r="AE31" s="67">
        <v>0</v>
      </c>
    </row>
    <row r="32" spans="1:31" ht="18" customHeight="1">
      <c r="A32" s="23" t="s">
        <v>60</v>
      </c>
      <c r="B32" s="3">
        <v>34</v>
      </c>
      <c r="C32" s="15">
        <v>20</v>
      </c>
      <c r="D32" s="164">
        <v>40</v>
      </c>
      <c r="E32" s="68">
        <v>35</v>
      </c>
      <c r="F32" s="69">
        <v>35</v>
      </c>
      <c r="G32" s="69">
        <v>45</v>
      </c>
      <c r="H32" s="179">
        <v>40</v>
      </c>
      <c r="I32" s="31">
        <v>29</v>
      </c>
      <c r="J32" s="31">
        <v>20</v>
      </c>
      <c r="K32" s="31">
        <v>17</v>
      </c>
      <c r="L32" s="116">
        <v>30</v>
      </c>
      <c r="M32" s="31">
        <v>13</v>
      </c>
      <c r="N32" s="31">
        <v>16</v>
      </c>
      <c r="O32" s="69">
        <v>30</v>
      </c>
      <c r="P32" s="57">
        <v>25</v>
      </c>
      <c r="Q32" s="31">
        <v>12</v>
      </c>
      <c r="R32" s="31">
        <v>94</v>
      </c>
      <c r="S32" s="67">
        <v>25</v>
      </c>
      <c r="T32" s="31">
        <v>46</v>
      </c>
      <c r="U32" s="31">
        <v>51</v>
      </c>
      <c r="V32" s="79">
        <v>27</v>
      </c>
      <c r="W32" s="182">
        <v>20</v>
      </c>
      <c r="X32" s="66">
        <v>23</v>
      </c>
      <c r="Y32" s="67">
        <v>20</v>
      </c>
      <c r="Z32" s="142">
        <v>31</v>
      </c>
      <c r="AA32" s="142">
        <v>25</v>
      </c>
      <c r="AB32" s="31">
        <v>10</v>
      </c>
      <c r="AC32" s="68">
        <v>0</v>
      </c>
      <c r="AD32" s="67">
        <v>0</v>
      </c>
      <c r="AE32" s="68">
        <v>6</v>
      </c>
    </row>
    <row r="33" spans="1:31" ht="18" customHeight="1" thickBot="1">
      <c r="A33" s="25" t="s">
        <v>61</v>
      </c>
      <c r="B33" s="3">
        <v>13</v>
      </c>
      <c r="C33" s="15">
        <v>10</v>
      </c>
      <c r="D33" s="164">
        <v>20</v>
      </c>
      <c r="E33" s="88">
        <v>34</v>
      </c>
      <c r="F33" s="89">
        <v>41</v>
      </c>
      <c r="G33" s="89">
        <v>33</v>
      </c>
      <c r="H33" s="165">
        <v>20</v>
      </c>
      <c r="I33" s="31">
        <v>28</v>
      </c>
      <c r="J33" s="31">
        <v>21</v>
      </c>
      <c r="K33" s="64">
        <v>29</v>
      </c>
      <c r="L33" s="116">
        <v>20</v>
      </c>
      <c r="M33" s="31">
        <v>23</v>
      </c>
      <c r="N33" s="79">
        <v>40</v>
      </c>
      <c r="O33" s="67">
        <v>20</v>
      </c>
      <c r="P33" s="57">
        <v>25</v>
      </c>
      <c r="Q33" s="31">
        <v>39</v>
      </c>
      <c r="R33" s="79">
        <v>34</v>
      </c>
      <c r="S33" s="65">
        <v>20</v>
      </c>
      <c r="T33" s="57">
        <v>15</v>
      </c>
      <c r="U33" s="31">
        <v>35</v>
      </c>
      <c r="V33" s="79">
        <v>30</v>
      </c>
      <c r="W33" s="182">
        <v>20</v>
      </c>
      <c r="X33" s="57">
        <v>35</v>
      </c>
      <c r="Y33" s="31">
        <v>24</v>
      </c>
      <c r="Z33" s="67">
        <v>24</v>
      </c>
      <c r="AA33" s="67">
        <v>17</v>
      </c>
      <c r="AB33" s="180">
        <v>10</v>
      </c>
      <c r="AC33" s="66">
        <v>0</v>
      </c>
      <c r="AD33" s="67">
        <v>0</v>
      </c>
      <c r="AE33" s="66">
        <v>0</v>
      </c>
    </row>
    <row r="34" spans="1:31" ht="18" customHeight="1" thickBot="1">
      <c r="A34" s="24" t="s">
        <v>62</v>
      </c>
      <c r="B34" s="3">
        <v>11</v>
      </c>
      <c r="C34" s="15">
        <v>10</v>
      </c>
      <c r="D34" s="164">
        <v>15</v>
      </c>
      <c r="E34" s="69">
        <v>14</v>
      </c>
      <c r="F34" s="70">
        <v>27</v>
      </c>
      <c r="G34" s="89">
        <v>23</v>
      </c>
      <c r="H34" s="163">
        <v>15</v>
      </c>
      <c r="I34" s="31">
        <v>12</v>
      </c>
      <c r="J34" s="31">
        <v>16</v>
      </c>
      <c r="K34" s="64">
        <v>15</v>
      </c>
      <c r="L34" s="67">
        <v>15</v>
      </c>
      <c r="M34" s="31">
        <v>14</v>
      </c>
      <c r="N34" s="79">
        <v>18</v>
      </c>
      <c r="O34" s="67">
        <v>15</v>
      </c>
      <c r="P34" s="57">
        <v>16</v>
      </c>
      <c r="Q34" s="31">
        <v>16</v>
      </c>
      <c r="R34" s="79">
        <v>11</v>
      </c>
      <c r="S34" s="67">
        <v>15</v>
      </c>
      <c r="T34" s="31">
        <v>13</v>
      </c>
      <c r="U34" s="31">
        <v>16</v>
      </c>
      <c r="V34" s="79">
        <v>10</v>
      </c>
      <c r="W34" s="182">
        <v>15</v>
      </c>
      <c r="X34" s="31">
        <v>14</v>
      </c>
      <c r="Y34" s="31">
        <v>11</v>
      </c>
      <c r="Z34" s="67">
        <v>10</v>
      </c>
      <c r="AA34" s="67">
        <v>9</v>
      </c>
      <c r="AB34" s="180">
        <v>10</v>
      </c>
      <c r="AC34" s="66">
        <v>0</v>
      </c>
      <c r="AD34" s="67">
        <v>0</v>
      </c>
      <c r="AE34" s="66">
        <v>0</v>
      </c>
    </row>
    <row r="35" spans="1:31" ht="18" customHeight="1">
      <c r="A35" s="24" t="s">
        <v>63</v>
      </c>
      <c r="B35" s="3">
        <v>55</v>
      </c>
      <c r="C35" s="15">
        <v>30</v>
      </c>
      <c r="D35" s="164">
        <v>100</v>
      </c>
      <c r="E35" s="68">
        <v>48</v>
      </c>
      <c r="F35" s="69">
        <v>131</v>
      </c>
      <c r="G35" s="69">
        <v>73</v>
      </c>
      <c r="H35" s="194">
        <v>100</v>
      </c>
      <c r="I35" s="31">
        <v>60</v>
      </c>
      <c r="J35" s="31">
        <v>73</v>
      </c>
      <c r="K35" s="71">
        <v>70</v>
      </c>
      <c r="L35" s="67">
        <v>80</v>
      </c>
      <c r="M35" s="31">
        <v>67</v>
      </c>
      <c r="N35" s="79">
        <v>82</v>
      </c>
      <c r="O35" s="67">
        <v>80</v>
      </c>
      <c r="P35" s="57">
        <v>60</v>
      </c>
      <c r="Q35" s="31">
        <v>70</v>
      </c>
      <c r="R35" s="79">
        <v>38</v>
      </c>
      <c r="S35" s="67">
        <v>60</v>
      </c>
      <c r="T35" s="57">
        <v>47</v>
      </c>
      <c r="U35" s="31">
        <v>54</v>
      </c>
      <c r="V35" s="79">
        <v>46</v>
      </c>
      <c r="W35" s="182">
        <v>45</v>
      </c>
      <c r="X35" s="31">
        <v>30</v>
      </c>
      <c r="Y35" s="31">
        <v>17</v>
      </c>
      <c r="Z35" s="67">
        <v>13</v>
      </c>
      <c r="AA35" s="67">
        <v>29</v>
      </c>
      <c r="AB35" s="71">
        <v>5</v>
      </c>
      <c r="AC35" s="66">
        <v>3</v>
      </c>
      <c r="AD35" s="67">
        <v>0</v>
      </c>
      <c r="AE35" s="66">
        <v>0</v>
      </c>
    </row>
    <row r="36" spans="1:31" ht="18" customHeight="1">
      <c r="A36" s="25" t="s">
        <v>64</v>
      </c>
      <c r="B36" s="3">
        <v>23</v>
      </c>
      <c r="C36" s="15">
        <v>10</v>
      </c>
      <c r="D36" s="169">
        <v>30</v>
      </c>
      <c r="E36" s="69">
        <v>46</v>
      </c>
      <c r="F36" s="98">
        <v>89</v>
      </c>
      <c r="G36" s="98">
        <v>45</v>
      </c>
      <c r="H36" s="195">
        <v>30</v>
      </c>
      <c r="I36" s="31">
        <v>40</v>
      </c>
      <c r="J36" s="31">
        <v>63</v>
      </c>
      <c r="K36" s="71">
        <v>40</v>
      </c>
      <c r="L36" s="114">
        <v>25</v>
      </c>
      <c r="M36" s="72">
        <v>31</v>
      </c>
      <c r="N36" s="59">
        <v>42</v>
      </c>
      <c r="O36" s="65">
        <v>25</v>
      </c>
      <c r="P36" s="58">
        <v>34</v>
      </c>
      <c r="Q36" s="72">
        <v>37</v>
      </c>
      <c r="R36" s="59">
        <v>34</v>
      </c>
      <c r="S36" s="65">
        <v>20</v>
      </c>
      <c r="T36" s="58">
        <v>43</v>
      </c>
      <c r="U36" s="72">
        <v>22</v>
      </c>
      <c r="V36" s="59">
        <v>38</v>
      </c>
      <c r="W36" s="184">
        <v>10</v>
      </c>
      <c r="X36" s="58">
        <v>19</v>
      </c>
      <c r="Y36" s="72">
        <v>14</v>
      </c>
      <c r="Z36" s="65">
        <v>14</v>
      </c>
      <c r="AA36" s="65">
        <v>29</v>
      </c>
      <c r="AB36" s="71">
        <v>5</v>
      </c>
      <c r="AC36" s="87">
        <v>1</v>
      </c>
      <c r="AD36" s="65">
        <v>0</v>
      </c>
      <c r="AE36" s="87">
        <v>0</v>
      </c>
    </row>
    <row r="37" spans="1:31" s="22" customFormat="1" ht="18" customHeight="1" thickBot="1">
      <c r="A37" s="25" t="s">
        <v>65</v>
      </c>
      <c r="B37" s="3">
        <v>13</v>
      </c>
      <c r="C37" s="15">
        <v>10</v>
      </c>
      <c r="D37" s="169">
        <v>10</v>
      </c>
      <c r="E37" s="100">
        <v>14</v>
      </c>
      <c r="F37" s="100">
        <v>42</v>
      </c>
      <c r="G37" s="69">
        <v>41</v>
      </c>
      <c r="H37" s="167">
        <v>10</v>
      </c>
      <c r="I37" s="31">
        <v>30</v>
      </c>
      <c r="J37" s="31">
        <v>28</v>
      </c>
      <c r="K37" s="31">
        <v>20</v>
      </c>
      <c r="L37" s="31">
        <v>10</v>
      </c>
      <c r="M37" s="31">
        <v>17</v>
      </c>
      <c r="N37" s="31">
        <v>21</v>
      </c>
      <c r="O37" s="193">
        <v>10</v>
      </c>
      <c r="P37" s="71">
        <v>17</v>
      </c>
      <c r="Q37" s="31">
        <v>16</v>
      </c>
      <c r="R37" s="58">
        <v>11</v>
      </c>
      <c r="S37" s="189">
        <v>10</v>
      </c>
      <c r="T37" s="57">
        <v>34</v>
      </c>
      <c r="U37" s="31">
        <v>18</v>
      </c>
      <c r="V37" s="67">
        <v>21</v>
      </c>
      <c r="W37" s="185">
        <v>10</v>
      </c>
      <c r="X37" s="31">
        <v>9</v>
      </c>
      <c r="Y37" s="31">
        <v>2</v>
      </c>
      <c r="Z37" s="65">
        <v>5</v>
      </c>
      <c r="AA37" s="65">
        <v>8</v>
      </c>
      <c r="AB37" s="31">
        <v>0</v>
      </c>
      <c r="AC37" s="66">
        <v>0</v>
      </c>
      <c r="AD37" s="67">
        <v>0</v>
      </c>
      <c r="AE37" s="66">
        <v>0</v>
      </c>
    </row>
    <row r="38" spans="1:31" s="22" customFormat="1" ht="18" customHeight="1" thickBot="1">
      <c r="A38" s="252" t="s">
        <v>66</v>
      </c>
      <c r="B38" s="34">
        <f>SUM(B31:B37)</f>
        <v>160</v>
      </c>
      <c r="C38" s="253">
        <v>100</v>
      </c>
      <c r="D38" s="161">
        <v>225</v>
      </c>
      <c r="E38" s="100">
        <f>SUM(E31:E37)</f>
        <v>196</v>
      </c>
      <c r="F38" s="100">
        <f>SUM(F31:F37)</f>
        <v>389</v>
      </c>
      <c r="G38" s="100">
        <f>SUM(G31:G37)</f>
        <v>272</v>
      </c>
      <c r="H38" s="166">
        <v>225</v>
      </c>
      <c r="I38" s="103">
        <f>SUM(I31:I37)</f>
        <v>211</v>
      </c>
      <c r="J38" s="103">
        <f>SUM(J31:J37)</f>
        <v>221</v>
      </c>
      <c r="K38" s="101">
        <f>SUM(K31:K37)</f>
        <v>201</v>
      </c>
      <c r="L38" s="101">
        <v>190</v>
      </c>
      <c r="M38" s="101">
        <f>SUM(M31:M37)</f>
        <v>170</v>
      </c>
      <c r="N38" s="101">
        <f>SUM(N31:N37)</f>
        <v>224</v>
      </c>
      <c r="O38" s="35">
        <v>190</v>
      </c>
      <c r="P38" s="208">
        <f>SUM(P31:P37)</f>
        <v>179</v>
      </c>
      <c r="Q38" s="101">
        <f>SUM(Q31:Q37)</f>
        <v>197</v>
      </c>
      <c r="R38" s="102">
        <f>SUM(R31:R37)</f>
        <v>227</v>
      </c>
      <c r="S38" s="35">
        <v>160</v>
      </c>
      <c r="T38" s="102">
        <f>SUM(T31:T37)</f>
        <v>211</v>
      </c>
      <c r="U38" s="101">
        <f>SUM(U31:U37)</f>
        <v>198</v>
      </c>
      <c r="V38" s="35">
        <f>SUM(V31:V37)</f>
        <v>173</v>
      </c>
      <c r="W38" s="185">
        <v>130</v>
      </c>
      <c r="X38" s="137">
        <f>SUM(X31:X37)</f>
        <v>130</v>
      </c>
      <c r="Y38" s="101">
        <f>SUM(Y31:Y37)</f>
        <v>88</v>
      </c>
      <c r="Z38" s="254">
        <f>SUM(Z31:Z37)</f>
        <v>105</v>
      </c>
      <c r="AA38" s="254">
        <f>SUM(AA31:AA37)</f>
        <v>121</v>
      </c>
      <c r="AB38" s="101">
        <v>50</v>
      </c>
      <c r="AC38" s="35">
        <f>SUM(AC31:AC37)</f>
        <v>4</v>
      </c>
      <c r="AD38" s="35">
        <f>SUM(AD31:AD37)</f>
        <v>0</v>
      </c>
      <c r="AE38" s="35">
        <f>SUM(AE31:AE37)</f>
        <v>6</v>
      </c>
    </row>
    <row r="39" spans="1:31" ht="18" customHeight="1">
      <c r="A39" s="255" t="s">
        <v>67</v>
      </c>
      <c r="B39" s="31"/>
      <c r="C39" s="31"/>
      <c r="D39" s="171"/>
      <c r="E39" s="149"/>
      <c r="F39" s="62"/>
      <c r="G39" s="62"/>
      <c r="H39" s="165"/>
      <c r="I39" s="64"/>
      <c r="J39" s="67"/>
      <c r="K39" s="104"/>
      <c r="L39" s="116"/>
      <c r="M39" s="33"/>
      <c r="N39" s="83"/>
      <c r="O39" s="116"/>
      <c r="P39" s="64"/>
      <c r="Q39" s="33"/>
      <c r="R39" s="36"/>
      <c r="S39" s="116"/>
      <c r="T39" s="104"/>
      <c r="U39" s="33"/>
      <c r="V39" s="36"/>
      <c r="W39" s="139"/>
      <c r="X39" s="104"/>
      <c r="Y39" s="33"/>
      <c r="Z39" s="36"/>
      <c r="AA39" s="36"/>
      <c r="AB39" s="116"/>
      <c r="AC39" s="104"/>
      <c r="AD39" s="36"/>
      <c r="AE39" s="104"/>
    </row>
    <row r="40" spans="1:31" ht="18" customHeight="1">
      <c r="A40" s="24" t="s">
        <v>68</v>
      </c>
      <c r="B40" s="3">
        <v>11</v>
      </c>
      <c r="C40" s="15">
        <v>5</v>
      </c>
      <c r="D40" s="164">
        <v>10</v>
      </c>
      <c r="E40" s="132">
        <v>20</v>
      </c>
      <c r="F40" s="69">
        <v>28</v>
      </c>
      <c r="G40" s="69">
        <v>12</v>
      </c>
      <c r="H40" s="163">
        <v>10</v>
      </c>
      <c r="I40" s="31">
        <v>16</v>
      </c>
      <c r="J40" s="57">
        <v>13</v>
      </c>
      <c r="K40" s="79">
        <v>6</v>
      </c>
      <c r="L40" s="65">
        <v>10</v>
      </c>
      <c r="M40" s="79">
        <v>9</v>
      </c>
      <c r="N40" s="79">
        <v>6</v>
      </c>
      <c r="O40" s="116">
        <v>10</v>
      </c>
      <c r="P40" s="57">
        <v>16</v>
      </c>
      <c r="Q40" s="79">
        <v>16</v>
      </c>
      <c r="R40" s="79">
        <v>14</v>
      </c>
      <c r="S40" s="179">
        <v>10</v>
      </c>
      <c r="T40" s="31">
        <v>10</v>
      </c>
      <c r="U40" s="31">
        <v>12</v>
      </c>
      <c r="V40" s="79">
        <v>14</v>
      </c>
      <c r="W40" s="182">
        <v>5</v>
      </c>
      <c r="X40" s="72">
        <v>0</v>
      </c>
      <c r="Y40" s="67">
        <v>1</v>
      </c>
      <c r="Z40" s="31">
        <v>3</v>
      </c>
      <c r="AA40" s="31">
        <v>0</v>
      </c>
      <c r="AB40" s="116">
        <v>0</v>
      </c>
      <c r="AC40" s="66">
        <v>0</v>
      </c>
      <c r="AD40" s="67">
        <v>0</v>
      </c>
      <c r="AE40" s="66">
        <v>0</v>
      </c>
    </row>
    <row r="41" spans="1:31" ht="18" customHeight="1">
      <c r="A41" s="24" t="s">
        <v>69</v>
      </c>
      <c r="B41" s="3">
        <v>18</v>
      </c>
      <c r="C41" s="15">
        <v>10</v>
      </c>
      <c r="D41" s="164">
        <v>15</v>
      </c>
      <c r="E41" s="132">
        <v>34</v>
      </c>
      <c r="F41" s="69">
        <v>40</v>
      </c>
      <c r="G41" s="69">
        <v>26</v>
      </c>
      <c r="H41" s="189">
        <v>15</v>
      </c>
      <c r="I41" s="31">
        <v>24</v>
      </c>
      <c r="J41" s="79">
        <v>19</v>
      </c>
      <c r="K41" s="64">
        <v>12</v>
      </c>
      <c r="L41" s="65">
        <v>10</v>
      </c>
      <c r="M41" s="31">
        <v>16</v>
      </c>
      <c r="N41" s="79">
        <v>15</v>
      </c>
      <c r="O41" s="116">
        <v>10</v>
      </c>
      <c r="P41" s="57">
        <v>13</v>
      </c>
      <c r="Q41" s="79">
        <v>14</v>
      </c>
      <c r="R41" s="79">
        <v>24</v>
      </c>
      <c r="S41" s="179">
        <v>10</v>
      </c>
      <c r="T41" s="31">
        <v>16</v>
      </c>
      <c r="U41" s="31">
        <v>11</v>
      </c>
      <c r="V41" s="79">
        <v>21</v>
      </c>
      <c r="W41" s="124">
        <v>5</v>
      </c>
      <c r="X41" s="72">
        <v>3</v>
      </c>
      <c r="Y41" s="31">
        <v>0</v>
      </c>
      <c r="Z41" s="31">
        <v>2</v>
      </c>
      <c r="AA41" s="31">
        <v>2</v>
      </c>
      <c r="AB41" s="116">
        <v>0</v>
      </c>
      <c r="AC41" s="67">
        <v>0</v>
      </c>
      <c r="AD41" s="67">
        <v>0</v>
      </c>
      <c r="AE41" s="67">
        <v>0</v>
      </c>
    </row>
    <row r="42" spans="1:31" ht="18" customHeight="1">
      <c r="A42" s="24" t="s">
        <v>70</v>
      </c>
      <c r="B42" s="3">
        <v>26</v>
      </c>
      <c r="C42" s="15">
        <v>10</v>
      </c>
      <c r="D42" s="189">
        <v>25</v>
      </c>
      <c r="E42" s="132">
        <v>24</v>
      </c>
      <c r="F42" s="69">
        <v>52</v>
      </c>
      <c r="G42" s="69">
        <v>44</v>
      </c>
      <c r="H42" s="163">
        <v>20</v>
      </c>
      <c r="I42" s="31">
        <v>24</v>
      </c>
      <c r="J42" s="79">
        <v>23</v>
      </c>
      <c r="K42" s="79">
        <v>8</v>
      </c>
      <c r="L42" s="65">
        <v>10</v>
      </c>
      <c r="M42" s="79">
        <v>21</v>
      </c>
      <c r="N42" s="79">
        <v>11</v>
      </c>
      <c r="O42" s="116">
        <v>10</v>
      </c>
      <c r="P42" s="79">
        <v>28</v>
      </c>
      <c r="Q42" s="79">
        <v>30</v>
      </c>
      <c r="R42" s="79">
        <v>28</v>
      </c>
      <c r="S42" s="179">
        <v>10</v>
      </c>
      <c r="T42" s="31">
        <v>16</v>
      </c>
      <c r="U42" s="31">
        <v>17</v>
      </c>
      <c r="V42" s="79">
        <v>19</v>
      </c>
      <c r="W42" s="124">
        <v>5</v>
      </c>
      <c r="X42" s="72">
        <v>2</v>
      </c>
      <c r="Y42" s="86">
        <v>2</v>
      </c>
      <c r="Z42" s="31">
        <v>4</v>
      </c>
      <c r="AA42" s="31">
        <v>4</v>
      </c>
      <c r="AB42" s="79">
        <v>0</v>
      </c>
      <c r="AC42" s="66">
        <v>0</v>
      </c>
      <c r="AD42" s="67">
        <v>0</v>
      </c>
      <c r="AE42" s="66">
        <v>0</v>
      </c>
    </row>
    <row r="43" spans="1:31" ht="18" customHeight="1" thickBot="1">
      <c r="A43" s="25" t="s">
        <v>71</v>
      </c>
      <c r="B43" s="3">
        <v>13</v>
      </c>
      <c r="C43" s="15">
        <v>5</v>
      </c>
      <c r="D43" s="163">
        <v>10</v>
      </c>
      <c r="E43" s="130">
        <v>19</v>
      </c>
      <c r="F43" s="89">
        <v>29</v>
      </c>
      <c r="G43" s="89">
        <v>16</v>
      </c>
      <c r="H43" s="189">
        <v>10</v>
      </c>
      <c r="I43" s="31">
        <v>15</v>
      </c>
      <c r="J43" s="57">
        <v>16</v>
      </c>
      <c r="K43" s="79">
        <v>16</v>
      </c>
      <c r="L43" s="65">
        <v>5</v>
      </c>
      <c r="M43" s="79">
        <v>14</v>
      </c>
      <c r="N43" s="79">
        <v>14</v>
      </c>
      <c r="O43" s="64">
        <v>5</v>
      </c>
      <c r="P43" s="79">
        <v>17</v>
      </c>
      <c r="Q43" s="79">
        <v>13</v>
      </c>
      <c r="R43" s="79">
        <v>8</v>
      </c>
      <c r="S43" s="31">
        <v>5</v>
      </c>
      <c r="T43" s="31">
        <v>11</v>
      </c>
      <c r="U43" s="31">
        <v>15</v>
      </c>
      <c r="V43" s="79">
        <v>16</v>
      </c>
      <c r="W43" s="183">
        <v>5</v>
      </c>
      <c r="X43" s="72">
        <v>0</v>
      </c>
      <c r="Y43" s="31">
        <v>0</v>
      </c>
      <c r="Z43" s="31">
        <v>3</v>
      </c>
      <c r="AA43" s="31">
        <v>0</v>
      </c>
      <c r="AB43" s="116">
        <v>0</v>
      </c>
      <c r="AC43" s="71">
        <v>0</v>
      </c>
      <c r="AD43" s="67">
        <v>0</v>
      </c>
      <c r="AE43" s="71">
        <v>0</v>
      </c>
    </row>
    <row r="44" spans="1:31" s="4" customFormat="1" ht="18" customHeight="1" thickBot="1">
      <c r="A44" s="27" t="s">
        <v>72</v>
      </c>
      <c r="B44" s="29">
        <f>SUM(B40:B43)</f>
        <v>68</v>
      </c>
      <c r="C44" s="37">
        <v>40</v>
      </c>
      <c r="D44" s="200">
        <v>60</v>
      </c>
      <c r="E44" s="148">
        <f>SUM(E40:E43)</f>
        <v>97</v>
      </c>
      <c r="F44" s="77">
        <f>SUM(F40:F43)</f>
        <v>149</v>
      </c>
      <c r="G44" s="77">
        <f>SUM(G40:G43)</f>
        <v>98</v>
      </c>
      <c r="H44" s="162">
        <v>55</v>
      </c>
      <c r="I44" s="101">
        <f>SUM(I40:I43)</f>
        <v>79</v>
      </c>
      <c r="J44" s="205">
        <f>SUM(J40:J43)</f>
        <v>71</v>
      </c>
      <c r="K44" s="79">
        <f>SUM(K40:K43)</f>
        <v>42</v>
      </c>
      <c r="L44" s="209">
        <v>35</v>
      </c>
      <c r="M44" s="102">
        <f>SUM(M40:M43)</f>
        <v>60</v>
      </c>
      <c r="N44" s="102">
        <f>SUM(N40:N43)</f>
        <v>46</v>
      </c>
      <c r="O44" s="208">
        <v>35</v>
      </c>
      <c r="P44" s="102">
        <f>SUM(P40:P43)</f>
        <v>74</v>
      </c>
      <c r="Q44" s="102">
        <f>SUM(Q40:Q43)</f>
        <v>73</v>
      </c>
      <c r="R44" s="102">
        <f>SUM(R40:R43)</f>
        <v>74</v>
      </c>
      <c r="S44" s="210">
        <v>35</v>
      </c>
      <c r="T44" s="101">
        <f>SUM(T40:T43)</f>
        <v>53</v>
      </c>
      <c r="U44" s="101">
        <f>SUM(U40:U43)</f>
        <v>55</v>
      </c>
      <c r="V44" s="102">
        <f>SUM(V40:V43)</f>
        <v>70</v>
      </c>
      <c r="W44" s="100">
        <v>20</v>
      </c>
      <c r="X44" s="103">
        <f>SUM(X40:X43)</f>
        <v>5</v>
      </c>
      <c r="Y44" s="35">
        <f>SUM(Y40:Y43)</f>
        <v>3</v>
      </c>
      <c r="Z44" s="101">
        <f>SUM(Z40:Z43)</f>
        <v>12</v>
      </c>
      <c r="AA44" s="101">
        <f>SUM(AA40:AA43)</f>
        <v>6</v>
      </c>
      <c r="AB44" s="135">
        <v>0</v>
      </c>
      <c r="AC44" s="151">
        <f>SUM(AC40:AC43)</f>
        <v>0</v>
      </c>
      <c r="AD44" s="74">
        <f>SUM(AD40:AD43)</f>
        <v>0</v>
      </c>
      <c r="AE44" s="151">
        <v>0</v>
      </c>
    </row>
    <row r="45" spans="1:31" s="4" customFormat="1" ht="18" customHeight="1" thickBot="1">
      <c r="A45" s="27" t="s">
        <v>73</v>
      </c>
      <c r="B45" s="29">
        <f>SUM(B19+B26+B27+B28+B29+B38+B44)</f>
        <v>1153</v>
      </c>
      <c r="C45" s="37">
        <v>800</v>
      </c>
      <c r="D45" s="161">
        <v>1485</v>
      </c>
      <c r="E45" s="148">
        <f>SUM(E19+E26+E27+E28+E29+E38+E44)</f>
        <v>1255</v>
      </c>
      <c r="F45" s="77">
        <f>SUM(F19+F26+F27+F28+F29+F38+F44)</f>
        <v>1836</v>
      </c>
      <c r="G45" s="77">
        <f>SUM(G19+G26+G27+G28+G29+G38+G44)</f>
        <v>1388</v>
      </c>
      <c r="H45" s="161">
        <v>1215</v>
      </c>
      <c r="I45" s="101">
        <f>SUM(I19+I26+I27+I28+I29+I38+I44)</f>
        <v>902</v>
      </c>
      <c r="J45" s="205">
        <f>SUM(J19+J26+J27+J28+J29+J38+J44)</f>
        <v>899</v>
      </c>
      <c r="K45" s="73">
        <f t="shared" ref="K45" si="1">SUM(K19+K26+K27+K28+K29+K38+K44)</f>
        <v>909</v>
      </c>
      <c r="L45" s="74">
        <v>805</v>
      </c>
      <c r="M45" s="73">
        <f>SUM(M19+M26+M27+M28+M29+M38+M44)</f>
        <v>831</v>
      </c>
      <c r="N45" s="105">
        <f t="shared" ref="N45" si="2">SUM(N19+N26+N27+N28+N29+N38+N44)</f>
        <v>844</v>
      </c>
      <c r="O45" s="122">
        <v>805</v>
      </c>
      <c r="P45" s="73">
        <f>SUM(P19+P26+P27+P28+P29+P38+P44)</f>
        <v>749</v>
      </c>
      <c r="Q45" s="73">
        <f>SUM(Q19+Q26+Q27+Q28+Q29+Q38+Q44)</f>
        <v>802</v>
      </c>
      <c r="R45" s="106">
        <f>SUM(R19+R26+R27+R28+R29+R38+R44)</f>
        <v>907</v>
      </c>
      <c r="S45" s="93">
        <v>665</v>
      </c>
      <c r="T45" s="73">
        <f>SUM(T19,T26,T27,T28,T29,T38,T44)</f>
        <v>541</v>
      </c>
      <c r="U45" s="73">
        <f t="shared" ref="U45:V45" si="3">SUM(U19,U26,U27,U28,U29,U38,U44)</f>
        <v>591</v>
      </c>
      <c r="V45" s="73">
        <f t="shared" si="3"/>
        <v>630</v>
      </c>
      <c r="W45" s="100">
        <v>317</v>
      </c>
      <c r="X45" s="107">
        <f>SUM(X19+X26+X27+X28+X29+X38+X44)</f>
        <v>233</v>
      </c>
      <c r="Y45" s="73">
        <f>SUM(Y19+Y26+Y27+Y28+Y29+Y38+Y44)</f>
        <v>267</v>
      </c>
      <c r="Z45" s="73">
        <f>SUM(Z19+Z26+Z27+Z28+Z29+Z38+Z44)</f>
        <v>208</v>
      </c>
      <c r="AA45" s="73">
        <f>SUM(AA19+AA26+AA27+AA28+AA29+AA38+AA44)</f>
        <v>223</v>
      </c>
      <c r="AB45" s="101">
        <v>58</v>
      </c>
      <c r="AC45" s="75">
        <f>SUM(AC19+AC26+AC27+AC28+AC29+AC38+AC44)</f>
        <v>6</v>
      </c>
      <c r="AD45" s="74">
        <f>SUM(AD19+AD26+AD27+AD28+AD29+AD38+AD44)</f>
        <v>0</v>
      </c>
      <c r="AE45" s="75">
        <f>SUM(AE19+AE26+AE27+AE28+AE29+AE38+AE44)</f>
        <v>9</v>
      </c>
    </row>
    <row r="46" spans="1:31" s="30" customFormat="1" ht="16.5" customHeight="1" thickBot="1">
      <c r="A46" s="109" t="s">
        <v>74</v>
      </c>
      <c r="B46" s="111">
        <v>400</v>
      </c>
      <c r="C46" s="39">
        <v>80</v>
      </c>
      <c r="D46" s="160">
        <v>200</v>
      </c>
      <c r="E46" s="108">
        <v>199</v>
      </c>
      <c r="F46" s="108">
        <v>426</v>
      </c>
      <c r="G46" s="108">
        <v>250</v>
      </c>
      <c r="H46" s="159">
        <v>100</v>
      </c>
      <c r="I46" s="31">
        <v>98</v>
      </c>
      <c r="J46" s="79">
        <v>183</v>
      </c>
      <c r="K46" s="108">
        <v>127</v>
      </c>
      <c r="L46" s="108">
        <v>60</v>
      </c>
      <c r="M46" s="108">
        <v>118</v>
      </c>
      <c r="N46" s="108">
        <v>89</v>
      </c>
      <c r="O46" s="108">
        <v>60</v>
      </c>
      <c r="P46" s="108">
        <v>85</v>
      </c>
      <c r="Q46" s="73">
        <v>40</v>
      </c>
      <c r="R46" s="108">
        <v>109</v>
      </c>
      <c r="S46" s="158">
        <v>50</v>
      </c>
      <c r="T46" s="108">
        <v>37</v>
      </c>
      <c r="U46" s="108">
        <v>64</v>
      </c>
      <c r="V46" s="108">
        <v>63</v>
      </c>
      <c r="W46" s="129">
        <v>20</v>
      </c>
      <c r="X46" s="108">
        <v>7</v>
      </c>
      <c r="Y46" s="108">
        <v>42</v>
      </c>
      <c r="Z46" s="108">
        <v>2</v>
      </c>
      <c r="AA46" s="108">
        <v>24</v>
      </c>
      <c r="AB46" s="133">
        <v>0</v>
      </c>
      <c r="AC46" s="108">
        <v>0</v>
      </c>
      <c r="AD46" s="76">
        <v>0</v>
      </c>
      <c r="AE46" s="108">
        <v>1</v>
      </c>
    </row>
    <row r="47" spans="1:31" s="49" customFormat="1">
      <c r="A47" s="256" t="s">
        <v>75</v>
      </c>
      <c r="B47" s="257"/>
      <c r="C47" s="257"/>
      <c r="D47" s="52"/>
      <c r="E47" s="51"/>
      <c r="F47" s="51"/>
      <c r="G47" s="51"/>
      <c r="H47" s="258"/>
      <c r="I47" s="54"/>
      <c r="J47" s="54"/>
      <c r="K47" s="54"/>
      <c r="L47" s="257"/>
      <c r="M47" s="54"/>
      <c r="N47" s="54"/>
      <c r="O47" s="51"/>
      <c r="P47" s="54"/>
      <c r="Q47" s="52"/>
      <c r="R47" s="53"/>
      <c r="S47" s="54"/>
      <c r="T47" s="52"/>
      <c r="U47" s="52"/>
      <c r="V47" s="52"/>
      <c r="W47" s="54"/>
      <c r="X47" s="52"/>
      <c r="Y47" s="52"/>
      <c r="Z47" s="258"/>
      <c r="AA47" s="258"/>
      <c r="AB47" s="53"/>
      <c r="AC47" s="258"/>
      <c r="AD47" s="258"/>
      <c r="AE47" s="257"/>
    </row>
    <row r="48" spans="1:31" s="49" customFormat="1">
      <c r="A48" s="56" t="s">
        <v>76</v>
      </c>
      <c r="B48" s="55"/>
      <c r="C48" s="257"/>
      <c r="D48" s="52"/>
      <c r="E48" s="51"/>
      <c r="F48" s="51"/>
      <c r="G48" s="51"/>
      <c r="H48" s="258"/>
      <c r="I48" s="50"/>
      <c r="J48" s="50"/>
      <c r="K48" s="54"/>
      <c r="L48" s="257"/>
      <c r="M48" s="54"/>
      <c r="N48" s="54"/>
      <c r="O48" s="51"/>
      <c r="P48" s="54"/>
      <c r="Q48" s="52"/>
      <c r="R48" s="53"/>
      <c r="S48" s="50"/>
      <c r="T48" s="52"/>
      <c r="U48" s="52"/>
      <c r="V48" s="52"/>
      <c r="W48" s="50"/>
      <c r="X48" s="52"/>
      <c r="Y48" s="52"/>
      <c r="Z48" s="258"/>
      <c r="AA48" s="258"/>
      <c r="AB48" s="53"/>
      <c r="AC48" s="258"/>
      <c r="AD48" s="258"/>
      <c r="AE48" s="257"/>
    </row>
  </sheetData>
  <mergeCells count="17">
    <mergeCell ref="I5:J5"/>
    <mergeCell ref="A1:C1"/>
    <mergeCell ref="A2:C2"/>
    <mergeCell ref="A3:C3"/>
    <mergeCell ref="A4:C4"/>
    <mergeCell ref="E5:G5"/>
    <mergeCell ref="AC8:AD8"/>
    <mergeCell ref="P5:R5"/>
    <mergeCell ref="T5:V5"/>
    <mergeCell ref="X5:AA5"/>
    <mergeCell ref="AC5:AD5"/>
    <mergeCell ref="P7:R7"/>
    <mergeCell ref="T7:V7"/>
    <mergeCell ref="X7:AA8"/>
    <mergeCell ref="AC7:AD7"/>
    <mergeCell ref="P8:R8"/>
    <mergeCell ref="T8:V8"/>
  </mergeCells>
  <conditionalFormatting sqref="E9:G19 P9:R19 T9:V19 E21:G29 P21:R29 T21:V29 E31:G38 P31:R38 T31:V38 E40:G46 P40:R46 T40:V46">
    <cfRule type="expression" dxfId="32" priority="10">
      <formula>AND($C9&lt;=E9, $B9&gt;E9)</formula>
    </cfRule>
    <cfRule type="expression" dxfId="31" priority="11">
      <formula>($B9&lt;=E9)</formula>
    </cfRule>
    <cfRule type="expression" dxfId="30" priority="12">
      <formula>$C9&gt;E9</formula>
    </cfRule>
  </conditionalFormatting>
  <conditionalFormatting sqref="I9:K19 M9:N19 I21:K29 M21:N29 I31:K38 M31:N38 I40:K46 M40:N46">
    <cfRule type="expression" dxfId="29" priority="7">
      <formula>AND($C9&lt;=I9, $B9&gt;I9)</formula>
    </cfRule>
    <cfRule type="expression" dxfId="28" priority="8">
      <formula>($B9&lt;=I9)</formula>
    </cfRule>
    <cfRule type="expression" dxfId="27" priority="9">
      <formula>$C9&gt;I9</formula>
    </cfRule>
  </conditionalFormatting>
  <conditionalFormatting sqref="X9:AA19 X21:AA29 X31:AA38 X40:AA46">
    <cfRule type="expression" dxfId="26" priority="4">
      <formula>AND($C9&lt;=X9, $B9&gt;X9)</formula>
    </cfRule>
    <cfRule type="expression" dxfId="25" priority="5">
      <formula>($B9&lt;=X9)</formula>
    </cfRule>
    <cfRule type="expression" dxfId="24" priority="6">
      <formula>$C9&gt;X9</formula>
    </cfRule>
  </conditionalFormatting>
  <conditionalFormatting sqref="AC9:AE19 AC21:AE29 AC31:AE38 AC40:AE46">
    <cfRule type="expression" dxfId="23" priority="1">
      <formula>AND($C9&lt;=AC9, $B9&gt;AC9)</formula>
    </cfRule>
    <cfRule type="expression" dxfId="22" priority="2">
      <formula>($B9&lt;=AC9)</formula>
    </cfRule>
    <cfRule type="expression" dxfId="21" priority="3">
      <formula>$C9&gt;AC9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4591-3A70-4AD2-B9B8-878EED9ADD75}">
  <sheetPr codeName="Sheet2"/>
  <dimension ref="A1:AE48"/>
  <sheetViews>
    <sheetView zoomScale="85" zoomScaleNormal="85" workbookViewId="0">
      <pane xSplit="3" ySplit="4" topLeftCell="D5" activePane="bottomRight" state="frozen"/>
      <selection pane="bottomRight" activeCell="AF44" sqref="AF44"/>
      <selection pane="bottomLeft" activeCell="A5" sqref="A5"/>
      <selection pane="topRight" activeCell="D1" sqref="D1"/>
    </sheetView>
  </sheetViews>
  <sheetFormatPr defaultColWidth="11" defaultRowHeight="15.6"/>
  <cols>
    <col min="1" max="1" width="46.875" customWidth="1"/>
    <col min="2" max="2" width="11.375" style="13" customWidth="1"/>
    <col min="3" max="3" width="13.375" style="13" customWidth="1"/>
    <col min="4" max="4" width="12.5" customWidth="1"/>
    <col min="8" max="8" width="12.125" customWidth="1"/>
    <col min="9" max="9" width="10.75" customWidth="1"/>
    <col min="11" max="11" width="11.875" customWidth="1"/>
    <col min="12" max="12" width="12.875" hidden="1" customWidth="1"/>
    <col min="13" max="14" width="0" hidden="1" customWidth="1"/>
    <col min="15" max="15" width="12.5" customWidth="1"/>
    <col min="19" max="19" width="13.125" customWidth="1"/>
    <col min="23" max="23" width="13.125" customWidth="1"/>
    <col min="28" max="28" width="11.625" customWidth="1"/>
  </cols>
  <sheetData>
    <row r="1" spans="1:31" ht="17.45">
      <c r="A1" s="271" t="s">
        <v>0</v>
      </c>
      <c r="B1" s="271"/>
      <c r="C1" s="277"/>
    </row>
    <row r="2" spans="1:31">
      <c r="A2" s="272" t="s">
        <v>77</v>
      </c>
      <c r="B2" s="272"/>
      <c r="C2" s="277"/>
    </row>
    <row r="3" spans="1:31">
      <c r="A3" s="272" t="s">
        <v>2</v>
      </c>
      <c r="B3" s="272"/>
      <c r="C3" s="277"/>
      <c r="I3" s="211"/>
    </row>
    <row r="4" spans="1:31" ht="12" customHeight="1" thickBot="1">
      <c r="A4" s="273">
        <v>45841</v>
      </c>
      <c r="B4" s="274"/>
      <c r="C4" s="278"/>
      <c r="F4" s="225"/>
      <c r="T4" s="226"/>
    </row>
    <row r="5" spans="1:31" ht="16.149999999999999" thickBot="1">
      <c r="A5" s="215"/>
      <c r="B5" s="9"/>
      <c r="D5" s="229" t="s">
        <v>3</v>
      </c>
      <c r="E5" s="275"/>
      <c r="F5" s="276"/>
      <c r="G5" s="276"/>
      <c r="H5" s="232" t="s">
        <v>4</v>
      </c>
      <c r="I5" s="269"/>
      <c r="J5" s="270"/>
      <c r="K5" s="233"/>
      <c r="L5" s="126" t="s">
        <v>5</v>
      </c>
      <c r="M5" s="220"/>
      <c r="N5" s="221"/>
      <c r="O5" s="126" t="s">
        <v>6</v>
      </c>
      <c r="P5" s="260"/>
      <c r="Q5" s="261"/>
      <c r="R5" s="262"/>
      <c r="S5" s="218" t="s">
        <v>7</v>
      </c>
      <c r="T5" s="263"/>
      <c r="U5" s="264"/>
      <c r="V5" s="265"/>
      <c r="W5" s="241" t="s">
        <v>8</v>
      </c>
      <c r="X5" s="266"/>
      <c r="Y5" s="267"/>
      <c r="Z5" s="267"/>
      <c r="AA5" s="267"/>
      <c r="AB5" s="121" t="s">
        <v>9</v>
      </c>
      <c r="AC5" s="287"/>
      <c r="AD5" s="288"/>
      <c r="AE5" s="216"/>
    </row>
    <row r="6" spans="1:31" ht="18" customHeight="1" thickBot="1">
      <c r="B6" s="10" t="s">
        <v>10</v>
      </c>
      <c r="C6" s="14"/>
      <c r="D6" s="156" t="s">
        <v>11</v>
      </c>
      <c r="E6" s="18" t="s">
        <v>78</v>
      </c>
      <c r="F6" s="19" t="s">
        <v>79</v>
      </c>
      <c r="G6" s="20" t="s">
        <v>80</v>
      </c>
      <c r="H6" s="156" t="s">
        <v>11</v>
      </c>
      <c r="I6" s="5" t="s">
        <v>81</v>
      </c>
      <c r="J6" s="7" t="s">
        <v>82</v>
      </c>
      <c r="K6" s="236" t="s">
        <v>83</v>
      </c>
      <c r="L6" s="156" t="s">
        <v>11</v>
      </c>
      <c r="M6" s="222" t="s">
        <v>18</v>
      </c>
      <c r="N6" s="223" t="s">
        <v>19</v>
      </c>
      <c r="O6" s="237" t="s">
        <v>11</v>
      </c>
      <c r="P6" s="8" t="s">
        <v>84</v>
      </c>
      <c r="Q6" s="6" t="s">
        <v>85</v>
      </c>
      <c r="R6" s="7" t="s">
        <v>86</v>
      </c>
      <c r="S6" s="238" t="s">
        <v>11</v>
      </c>
      <c r="T6" s="8" t="s">
        <v>87</v>
      </c>
      <c r="U6" s="6" t="s">
        <v>88</v>
      </c>
      <c r="V6" s="7" t="s">
        <v>89</v>
      </c>
      <c r="W6" s="237" t="s">
        <v>11</v>
      </c>
      <c r="X6" s="8" t="s">
        <v>90</v>
      </c>
      <c r="Y6" s="6" t="s">
        <v>91</v>
      </c>
      <c r="Z6" s="17" t="s">
        <v>92</v>
      </c>
      <c r="AA6" s="17" t="s">
        <v>93</v>
      </c>
      <c r="AB6" s="156" t="s">
        <v>11</v>
      </c>
      <c r="AC6" s="8" t="s">
        <v>94</v>
      </c>
      <c r="AD6" s="7" t="s">
        <v>95</v>
      </c>
      <c r="AE6" s="212" t="s">
        <v>29</v>
      </c>
    </row>
    <row r="7" spans="1:31" ht="18" customHeight="1" thickTop="1" thickBot="1">
      <c r="A7" s="1" t="s">
        <v>32</v>
      </c>
      <c r="B7" s="11" t="s">
        <v>33</v>
      </c>
      <c r="C7" s="38" t="s">
        <v>34</v>
      </c>
      <c r="D7" s="227" t="s">
        <v>35</v>
      </c>
      <c r="E7" s="40"/>
      <c r="F7" s="41"/>
      <c r="G7" s="41"/>
      <c r="H7" s="230" t="s">
        <v>35</v>
      </c>
      <c r="I7" s="234"/>
      <c r="J7" s="234"/>
      <c r="K7" s="243"/>
      <c r="L7" s="157" t="s">
        <v>35</v>
      </c>
      <c r="M7" s="220"/>
      <c r="N7" s="220"/>
      <c r="O7" s="157" t="s">
        <v>35</v>
      </c>
      <c r="P7" s="279"/>
      <c r="Q7" s="279"/>
      <c r="R7" s="280"/>
      <c r="S7" s="217" t="s">
        <v>35</v>
      </c>
      <c r="T7" s="281"/>
      <c r="U7" s="281"/>
      <c r="V7" s="282"/>
      <c r="W7" s="239" t="s">
        <v>35</v>
      </c>
      <c r="X7" s="268"/>
      <c r="Y7" s="268"/>
      <c r="Z7" s="268"/>
      <c r="AA7" s="268"/>
      <c r="AB7" s="242" t="s">
        <v>35</v>
      </c>
      <c r="AC7" s="289"/>
      <c r="AD7" s="289"/>
      <c r="AE7" s="214"/>
    </row>
    <row r="8" spans="1:31" ht="18" customHeight="1" thickBot="1">
      <c r="A8" s="21" t="s">
        <v>36</v>
      </c>
      <c r="B8" s="12"/>
      <c r="C8" s="2"/>
      <c r="D8" s="228"/>
      <c r="E8" s="42"/>
      <c r="F8" s="43"/>
      <c r="G8" s="43"/>
      <c r="H8" s="231"/>
      <c r="I8" s="235"/>
      <c r="J8" s="235"/>
      <c r="K8" s="244"/>
      <c r="L8" s="178"/>
      <c r="M8" s="224"/>
      <c r="N8" s="224"/>
      <c r="O8" s="178"/>
      <c r="P8" s="283"/>
      <c r="Q8" s="283"/>
      <c r="R8" s="284"/>
      <c r="S8" s="219"/>
      <c r="T8" s="285"/>
      <c r="U8" s="285"/>
      <c r="V8" s="286"/>
      <c r="W8" s="240"/>
      <c r="X8" s="268"/>
      <c r="Y8" s="268"/>
      <c r="Z8" s="268"/>
      <c r="AA8" s="268"/>
      <c r="AB8" s="213"/>
      <c r="AC8" s="290"/>
      <c r="AD8" s="290"/>
      <c r="AE8" s="213"/>
    </row>
    <row r="9" spans="1:31" ht="18" customHeight="1">
      <c r="A9" s="24" t="s">
        <v>37</v>
      </c>
      <c r="B9" s="3">
        <v>130</v>
      </c>
      <c r="C9" s="15">
        <v>60</v>
      </c>
      <c r="D9" s="196">
        <v>300</v>
      </c>
      <c r="E9" s="61">
        <v>225</v>
      </c>
      <c r="F9" s="62">
        <v>235</v>
      </c>
      <c r="G9" s="62">
        <v>204</v>
      </c>
      <c r="H9" s="177">
        <v>200</v>
      </c>
      <c r="I9" s="31">
        <v>86</v>
      </c>
      <c r="J9" s="31">
        <v>84</v>
      </c>
      <c r="K9" s="57">
        <v>99</v>
      </c>
      <c r="L9" s="59">
        <v>100</v>
      </c>
      <c r="M9" s="58">
        <v>135</v>
      </c>
      <c r="N9" s="58">
        <v>85</v>
      </c>
      <c r="O9" s="115">
        <v>100</v>
      </c>
      <c r="P9" s="58">
        <v>55</v>
      </c>
      <c r="Q9" s="59">
        <v>77</v>
      </c>
      <c r="R9" s="59">
        <v>115</v>
      </c>
      <c r="S9" s="186">
        <v>80</v>
      </c>
      <c r="T9" s="59">
        <v>43</v>
      </c>
      <c r="U9" s="59">
        <v>54</v>
      </c>
      <c r="V9" s="59">
        <v>80</v>
      </c>
      <c r="W9" s="123">
        <v>30</v>
      </c>
      <c r="X9" s="59">
        <v>13</v>
      </c>
      <c r="Y9" s="59">
        <v>31</v>
      </c>
      <c r="Z9" s="36">
        <v>15</v>
      </c>
      <c r="AA9" s="36">
        <v>13</v>
      </c>
      <c r="AB9" s="64">
        <v>0</v>
      </c>
      <c r="AC9" s="60"/>
      <c r="AD9" s="36"/>
      <c r="AE9" s="63"/>
    </row>
    <row r="10" spans="1:31" ht="18" customHeight="1">
      <c r="A10" s="24" t="s">
        <v>38</v>
      </c>
      <c r="B10" s="3">
        <v>27</v>
      </c>
      <c r="C10" s="15">
        <v>20</v>
      </c>
      <c r="D10" s="196">
        <v>35</v>
      </c>
      <c r="E10" s="68">
        <v>40</v>
      </c>
      <c r="F10" s="69">
        <v>49</v>
      </c>
      <c r="G10" s="69">
        <v>51</v>
      </c>
      <c r="H10" s="172">
        <v>30</v>
      </c>
      <c r="I10" s="31">
        <v>27</v>
      </c>
      <c r="J10" s="31">
        <v>38</v>
      </c>
      <c r="K10" s="64">
        <v>38</v>
      </c>
      <c r="L10" s="65">
        <v>20</v>
      </c>
      <c r="M10" s="58">
        <v>46</v>
      </c>
      <c r="N10" s="58">
        <v>46</v>
      </c>
      <c r="O10" s="114">
        <v>20</v>
      </c>
      <c r="P10" s="58">
        <v>49</v>
      </c>
      <c r="Q10" s="59">
        <v>31</v>
      </c>
      <c r="R10" s="59">
        <v>48</v>
      </c>
      <c r="S10" s="187">
        <v>20</v>
      </c>
      <c r="T10" s="31">
        <v>26</v>
      </c>
      <c r="U10" s="59">
        <v>25</v>
      </c>
      <c r="V10" s="59">
        <v>29</v>
      </c>
      <c r="W10" s="124">
        <v>5</v>
      </c>
      <c r="X10" s="31">
        <v>3</v>
      </c>
      <c r="Y10" s="59">
        <v>8</v>
      </c>
      <c r="Z10" s="65">
        <v>4</v>
      </c>
      <c r="AA10" s="65">
        <v>1</v>
      </c>
      <c r="AB10" s="64">
        <v>0</v>
      </c>
      <c r="AC10" s="66"/>
      <c r="AD10" s="67"/>
      <c r="AE10" s="70"/>
    </row>
    <row r="11" spans="1:31" ht="18" customHeight="1">
      <c r="A11" s="24" t="s">
        <v>39</v>
      </c>
      <c r="B11" s="3">
        <v>107</v>
      </c>
      <c r="C11" s="15">
        <v>60</v>
      </c>
      <c r="D11" s="196">
        <v>175</v>
      </c>
      <c r="E11" s="68">
        <v>90</v>
      </c>
      <c r="F11" s="69">
        <v>108</v>
      </c>
      <c r="G11" s="62">
        <v>79</v>
      </c>
      <c r="H11" s="168">
        <v>125</v>
      </c>
      <c r="I11" s="31">
        <v>47</v>
      </c>
      <c r="J11" s="31">
        <v>47</v>
      </c>
      <c r="K11" s="58">
        <v>60</v>
      </c>
      <c r="L11" s="59">
        <v>75</v>
      </c>
      <c r="M11" s="58">
        <v>57</v>
      </c>
      <c r="N11" s="58">
        <v>66</v>
      </c>
      <c r="O11" s="190">
        <v>75</v>
      </c>
      <c r="P11" s="58">
        <v>23</v>
      </c>
      <c r="Q11" s="59">
        <v>46</v>
      </c>
      <c r="R11" s="59">
        <v>63</v>
      </c>
      <c r="S11" s="145">
        <v>40</v>
      </c>
      <c r="T11" s="57">
        <v>28</v>
      </c>
      <c r="U11" s="59">
        <v>25</v>
      </c>
      <c r="V11" s="59">
        <v>34</v>
      </c>
      <c r="W11" s="62">
        <v>10</v>
      </c>
      <c r="X11" s="59">
        <v>2</v>
      </c>
      <c r="Y11" s="59">
        <v>8</v>
      </c>
      <c r="Z11" s="66">
        <v>7</v>
      </c>
      <c r="AA11" s="66">
        <v>7</v>
      </c>
      <c r="AB11" s="71">
        <v>5</v>
      </c>
      <c r="AC11" s="66"/>
      <c r="AD11" s="36"/>
      <c r="AE11" s="62"/>
    </row>
    <row r="12" spans="1:31" ht="18" customHeight="1">
      <c r="A12" s="25" t="s">
        <v>40</v>
      </c>
      <c r="B12" s="3">
        <v>34</v>
      </c>
      <c r="C12" s="15">
        <v>10</v>
      </c>
      <c r="D12" s="196">
        <v>45</v>
      </c>
      <c r="E12" s="68">
        <v>16</v>
      </c>
      <c r="F12" s="69">
        <v>28</v>
      </c>
      <c r="G12" s="62">
        <v>8</v>
      </c>
      <c r="H12" s="177">
        <v>35</v>
      </c>
      <c r="I12" s="31">
        <v>6</v>
      </c>
      <c r="J12" s="31">
        <v>2</v>
      </c>
      <c r="K12" s="71">
        <v>6</v>
      </c>
      <c r="L12" s="59">
        <v>15</v>
      </c>
      <c r="M12" s="58">
        <v>13</v>
      </c>
      <c r="N12" s="58">
        <v>9</v>
      </c>
      <c r="O12" s="66">
        <v>15</v>
      </c>
      <c r="P12" s="58">
        <v>5</v>
      </c>
      <c r="Q12" s="59">
        <v>5</v>
      </c>
      <c r="R12" s="59">
        <v>16</v>
      </c>
      <c r="S12" s="188">
        <v>10</v>
      </c>
      <c r="T12" s="59">
        <v>10</v>
      </c>
      <c r="U12" s="59">
        <v>4</v>
      </c>
      <c r="V12" s="59">
        <v>8</v>
      </c>
      <c r="W12" s="62">
        <v>5</v>
      </c>
      <c r="X12" s="59">
        <v>0</v>
      </c>
      <c r="Y12" s="33">
        <v>0</v>
      </c>
      <c r="Z12" s="66">
        <v>0</v>
      </c>
      <c r="AA12" s="66">
        <v>0</v>
      </c>
      <c r="AB12" s="71">
        <v>0</v>
      </c>
      <c r="AC12" s="66"/>
      <c r="AD12" s="36"/>
      <c r="AE12" s="62"/>
    </row>
    <row r="13" spans="1:31" ht="18" customHeight="1" thickBot="1">
      <c r="A13" s="26" t="s">
        <v>41</v>
      </c>
      <c r="B13" s="3">
        <v>31</v>
      </c>
      <c r="C13" s="15">
        <v>10</v>
      </c>
      <c r="D13" s="196">
        <v>25</v>
      </c>
      <c r="E13" s="61">
        <v>31</v>
      </c>
      <c r="F13" s="62">
        <v>69</v>
      </c>
      <c r="G13" s="62">
        <v>55</v>
      </c>
      <c r="H13" s="177">
        <v>25</v>
      </c>
      <c r="I13" s="31">
        <v>21</v>
      </c>
      <c r="J13" s="67">
        <v>13</v>
      </c>
      <c r="K13" s="71">
        <v>15</v>
      </c>
      <c r="L13" s="79">
        <v>20</v>
      </c>
      <c r="M13" s="58">
        <v>14</v>
      </c>
      <c r="N13" s="58">
        <v>16</v>
      </c>
      <c r="O13" s="60">
        <v>20</v>
      </c>
      <c r="P13" s="58">
        <v>20</v>
      </c>
      <c r="Q13" s="59">
        <v>4</v>
      </c>
      <c r="R13" s="59">
        <v>25</v>
      </c>
      <c r="S13" s="145">
        <v>20</v>
      </c>
      <c r="T13" s="59">
        <v>37</v>
      </c>
      <c r="U13" s="59">
        <v>30</v>
      </c>
      <c r="V13" s="59">
        <v>21</v>
      </c>
      <c r="W13" s="181">
        <v>10</v>
      </c>
      <c r="X13" s="59">
        <v>18</v>
      </c>
      <c r="Y13" s="33">
        <v>19</v>
      </c>
      <c r="Z13" s="66">
        <v>27</v>
      </c>
      <c r="AA13" s="66">
        <v>14</v>
      </c>
      <c r="AB13" s="31">
        <v>0</v>
      </c>
      <c r="AC13" s="60"/>
      <c r="AD13" s="36"/>
      <c r="AE13" s="63"/>
    </row>
    <row r="14" spans="1:31" s="4" customFormat="1" ht="18" customHeight="1" thickBot="1">
      <c r="A14" s="27" t="s">
        <v>42</v>
      </c>
      <c r="B14" s="29">
        <v>65</v>
      </c>
      <c r="C14" s="37">
        <v>60</v>
      </c>
      <c r="D14" s="197">
        <v>70</v>
      </c>
      <c r="E14" s="76">
        <f>SUM(E12:E13)</f>
        <v>47</v>
      </c>
      <c r="F14" s="77">
        <f>SUM(F12:F13)</f>
        <v>97</v>
      </c>
      <c r="G14" s="77">
        <f>SUM(G12:G13)</f>
        <v>63</v>
      </c>
      <c r="H14" s="206">
        <v>60</v>
      </c>
      <c r="I14" s="101">
        <f>SUM(I12:I13)</f>
        <v>27</v>
      </c>
      <c r="J14" s="96">
        <f>SUM(J12+J13)</f>
        <v>15</v>
      </c>
      <c r="K14" s="137">
        <f>SUM(K12:K13)</f>
        <v>21</v>
      </c>
      <c r="L14" s="101">
        <v>35</v>
      </c>
      <c r="M14" s="245">
        <f>SUM(M12:M13)</f>
        <v>27</v>
      </c>
      <c r="N14" s="245">
        <f>SUM(N12:N13)</f>
        <v>25</v>
      </c>
      <c r="O14" s="120">
        <v>35</v>
      </c>
      <c r="P14" s="246">
        <f>SUM(P12:P13)</f>
        <v>25</v>
      </c>
      <c r="Q14" s="246">
        <f>SUM(Q12:Q13)</f>
        <v>9</v>
      </c>
      <c r="R14" s="246">
        <f>SUM(R12:R13)</f>
        <v>41</v>
      </c>
      <c r="S14" s="146">
        <v>30</v>
      </c>
      <c r="T14" s="246">
        <f>SUM(T12+T13)</f>
        <v>47</v>
      </c>
      <c r="U14" s="73">
        <f>U12+U13</f>
        <v>34</v>
      </c>
      <c r="V14" s="247">
        <f>SUM(V12:V13)</f>
        <v>29</v>
      </c>
      <c r="W14" s="125">
        <v>15</v>
      </c>
      <c r="X14" s="31">
        <f>SUM(X12:X13)</f>
        <v>18</v>
      </c>
      <c r="Y14" s="73">
        <f>SUM(Y12:Y13)</f>
        <v>19</v>
      </c>
      <c r="Z14" s="74">
        <f>SUM(Z12:Z13)</f>
        <v>27</v>
      </c>
      <c r="AA14" s="74">
        <f>SUM(AA12:AA13)</f>
        <v>14</v>
      </c>
      <c r="AB14" s="101">
        <v>0</v>
      </c>
      <c r="AC14" s="75">
        <f>SUM(AC12:AC13)</f>
        <v>0</v>
      </c>
      <c r="AD14" s="74">
        <f>SUM(AD12:AD13)</f>
        <v>0</v>
      </c>
      <c r="AE14" s="78">
        <f>SUM(AE12:AE13)</f>
        <v>0</v>
      </c>
    </row>
    <row r="15" spans="1:31" ht="18" customHeight="1">
      <c r="A15" s="24" t="s">
        <v>43</v>
      </c>
      <c r="B15" s="3">
        <v>62</v>
      </c>
      <c r="C15" s="15">
        <v>20</v>
      </c>
      <c r="D15" s="179">
        <v>100</v>
      </c>
      <c r="E15" s="68">
        <v>93</v>
      </c>
      <c r="F15" s="69">
        <v>120</v>
      </c>
      <c r="G15" s="69">
        <v>77</v>
      </c>
      <c r="H15" s="177">
        <v>80</v>
      </c>
      <c r="I15" s="31">
        <v>53</v>
      </c>
      <c r="J15" s="79">
        <v>49</v>
      </c>
      <c r="K15" s="57">
        <v>77</v>
      </c>
      <c r="L15" s="59">
        <v>50</v>
      </c>
      <c r="M15" s="58">
        <v>69</v>
      </c>
      <c r="N15" s="58">
        <v>63</v>
      </c>
      <c r="O15" s="143">
        <v>50</v>
      </c>
      <c r="P15" s="71">
        <v>26</v>
      </c>
      <c r="Q15" s="59">
        <v>65</v>
      </c>
      <c r="R15" s="59">
        <v>60</v>
      </c>
      <c r="S15" s="187">
        <v>40</v>
      </c>
      <c r="T15" s="59">
        <v>20</v>
      </c>
      <c r="U15" s="59">
        <v>33</v>
      </c>
      <c r="V15" s="59">
        <v>33</v>
      </c>
      <c r="W15" s="124">
        <v>15</v>
      </c>
      <c r="X15" s="59">
        <v>10</v>
      </c>
      <c r="Y15" s="59">
        <v>23</v>
      </c>
      <c r="Z15" s="67">
        <v>8</v>
      </c>
      <c r="AA15" s="67">
        <v>11</v>
      </c>
      <c r="AB15" s="116">
        <v>3</v>
      </c>
      <c r="AC15" s="66"/>
      <c r="AD15" s="67"/>
      <c r="AE15" s="70"/>
    </row>
    <row r="16" spans="1:31" ht="18" customHeight="1">
      <c r="A16" s="24" t="s">
        <v>44</v>
      </c>
      <c r="B16" s="3">
        <v>22</v>
      </c>
      <c r="C16" s="15">
        <v>10</v>
      </c>
      <c r="D16" s="179">
        <v>20</v>
      </c>
      <c r="E16" s="68">
        <v>26</v>
      </c>
      <c r="F16" s="69">
        <v>32</v>
      </c>
      <c r="G16" s="69">
        <v>23</v>
      </c>
      <c r="H16" s="177">
        <v>15</v>
      </c>
      <c r="I16" s="31">
        <v>12</v>
      </c>
      <c r="J16" s="204">
        <v>19</v>
      </c>
      <c r="K16" s="57">
        <v>23</v>
      </c>
      <c r="L16" s="114">
        <v>10</v>
      </c>
      <c r="M16" s="58">
        <v>17</v>
      </c>
      <c r="N16" s="58">
        <v>13</v>
      </c>
      <c r="O16" s="144">
        <v>10</v>
      </c>
      <c r="P16" s="71">
        <v>15</v>
      </c>
      <c r="Q16" s="59">
        <v>16</v>
      </c>
      <c r="R16" s="59">
        <v>15</v>
      </c>
      <c r="S16" s="187">
        <v>10</v>
      </c>
      <c r="T16" s="79">
        <v>8</v>
      </c>
      <c r="U16" s="79">
        <v>11</v>
      </c>
      <c r="V16" s="59">
        <v>15</v>
      </c>
      <c r="W16" s="124">
        <v>2</v>
      </c>
      <c r="X16" s="57">
        <v>0</v>
      </c>
      <c r="Y16" s="67">
        <v>4</v>
      </c>
      <c r="Z16" s="67">
        <v>0</v>
      </c>
      <c r="AA16" s="67">
        <v>0</v>
      </c>
      <c r="AB16" s="133">
        <v>0</v>
      </c>
      <c r="AC16" s="66"/>
      <c r="AD16" s="67"/>
      <c r="AE16" s="70"/>
    </row>
    <row r="17" spans="1:31" ht="18" customHeight="1">
      <c r="A17" s="24" t="s">
        <v>45</v>
      </c>
      <c r="B17" s="3">
        <v>14</v>
      </c>
      <c r="C17" s="15">
        <v>10</v>
      </c>
      <c r="D17" s="170">
        <v>15</v>
      </c>
      <c r="E17" s="68">
        <v>13</v>
      </c>
      <c r="F17" s="69">
        <v>41</v>
      </c>
      <c r="G17" s="69">
        <v>20</v>
      </c>
      <c r="H17" s="176">
        <v>15</v>
      </c>
      <c r="I17" s="31">
        <v>14</v>
      </c>
      <c r="J17" s="57">
        <v>31</v>
      </c>
      <c r="K17" s="57">
        <v>14</v>
      </c>
      <c r="L17" s="67">
        <v>15</v>
      </c>
      <c r="M17" s="58">
        <v>20</v>
      </c>
      <c r="N17" s="79">
        <v>19</v>
      </c>
      <c r="O17" s="66">
        <v>15</v>
      </c>
      <c r="P17" s="104">
        <v>21</v>
      </c>
      <c r="Q17" s="31">
        <v>11</v>
      </c>
      <c r="R17" s="33">
        <v>4</v>
      </c>
      <c r="S17" s="187">
        <v>15</v>
      </c>
      <c r="T17" s="31">
        <v>3</v>
      </c>
      <c r="U17" s="79">
        <v>9</v>
      </c>
      <c r="V17" s="79">
        <v>5</v>
      </c>
      <c r="W17" s="182">
        <v>10</v>
      </c>
      <c r="X17" s="31">
        <v>0</v>
      </c>
      <c r="Y17" s="59">
        <v>0</v>
      </c>
      <c r="Z17" s="66">
        <v>0</v>
      </c>
      <c r="AA17" s="66">
        <v>1</v>
      </c>
      <c r="AB17" s="57">
        <v>0</v>
      </c>
      <c r="AC17" s="66"/>
      <c r="AD17" s="67"/>
      <c r="AE17" s="70"/>
    </row>
    <row r="18" spans="1:31" ht="18" customHeight="1" thickBot="1">
      <c r="A18" s="24" t="s">
        <v>46</v>
      </c>
      <c r="B18" s="3">
        <v>19</v>
      </c>
      <c r="C18" s="15">
        <v>10</v>
      </c>
      <c r="D18" s="179">
        <v>30</v>
      </c>
      <c r="E18" s="68">
        <v>24</v>
      </c>
      <c r="F18" s="69">
        <v>81</v>
      </c>
      <c r="G18" s="69">
        <v>27</v>
      </c>
      <c r="H18" s="170">
        <v>20</v>
      </c>
      <c r="I18" s="31">
        <v>22</v>
      </c>
      <c r="J18" s="204">
        <v>34</v>
      </c>
      <c r="K18" s="57">
        <v>9</v>
      </c>
      <c r="L18" s="59">
        <v>10</v>
      </c>
      <c r="M18" s="58">
        <v>13</v>
      </c>
      <c r="N18" s="58">
        <v>21</v>
      </c>
      <c r="O18" s="65">
        <v>10</v>
      </c>
      <c r="P18" s="71">
        <v>38</v>
      </c>
      <c r="Q18" s="79">
        <v>23</v>
      </c>
      <c r="R18" s="31">
        <v>23</v>
      </c>
      <c r="S18" s="187">
        <v>10</v>
      </c>
      <c r="T18" s="31">
        <v>3</v>
      </c>
      <c r="U18" s="79">
        <v>11</v>
      </c>
      <c r="V18" s="79">
        <v>15</v>
      </c>
      <c r="W18" s="124">
        <v>5</v>
      </c>
      <c r="X18" s="59">
        <v>1</v>
      </c>
      <c r="Y18" s="31">
        <v>0</v>
      </c>
      <c r="Z18" s="67">
        <v>0</v>
      </c>
      <c r="AA18" s="67">
        <v>3</v>
      </c>
      <c r="AB18" s="133">
        <v>0</v>
      </c>
      <c r="AC18" s="59"/>
      <c r="AD18" s="65"/>
      <c r="AE18" s="70"/>
    </row>
    <row r="19" spans="1:31" s="4" customFormat="1" ht="18" customHeight="1" thickBot="1">
      <c r="A19" s="27" t="s">
        <v>47</v>
      </c>
      <c r="B19" s="29">
        <f>SUM(B9+B10+B11+B12+B13+B15+B16+B17+B18)</f>
        <v>446</v>
      </c>
      <c r="C19" s="37">
        <v>300</v>
      </c>
      <c r="D19" s="198">
        <v>745</v>
      </c>
      <c r="E19" s="76">
        <f>SUM(E15:E18,E13,E12,E11,E10,E9)</f>
        <v>558</v>
      </c>
      <c r="F19" s="77">
        <f>SUM(F15:F18,F13,F12,F11,F10,F9)</f>
        <v>763</v>
      </c>
      <c r="G19" s="77">
        <f>SUM(G15:G18,G13,G12,G11,G10,G9)</f>
        <v>544</v>
      </c>
      <c r="H19" s="175">
        <v>545</v>
      </c>
      <c r="I19" s="101">
        <f>SUM(I15:I18,I13,I12,I11,I10,I9)</f>
        <v>288</v>
      </c>
      <c r="J19" s="73">
        <f>SUM(J9:J13,J15,J16,J17,J18)</f>
        <v>317</v>
      </c>
      <c r="K19" s="248">
        <f>SUM(K15:K18,K11,K10,K9,K12,K13)</f>
        <v>341</v>
      </c>
      <c r="L19" s="80">
        <v>315</v>
      </c>
      <c r="M19" s="248">
        <f>SUM(M15:M18,M13,M12,M11,M10,M9)</f>
        <v>384</v>
      </c>
      <c r="N19" s="248">
        <f>SUM(N15:N18,N13,N12,N11,N10,N9)</f>
        <v>338</v>
      </c>
      <c r="O19" s="191">
        <v>315</v>
      </c>
      <c r="P19" s="118">
        <f>SUM(P15:P18,P13,P12,P11,P10,P9)</f>
        <v>252</v>
      </c>
      <c r="Q19" s="81">
        <f>SUM(Q15:Q18,Q13,Q12,Q11,Q10,Q9)</f>
        <v>278</v>
      </c>
      <c r="R19" s="82">
        <f>SUM(R15:R18,R13,R12,R11,R10,R9)</f>
        <v>369</v>
      </c>
      <c r="S19" s="147">
        <v>245</v>
      </c>
      <c r="T19" s="81">
        <f>SUM(T9,T10,T11,T12,T13,T15,T16,T17,T18)</f>
        <v>178</v>
      </c>
      <c r="U19" s="81">
        <f t="shared" ref="U19:V19" si="0">SUM(U9,U10,U11,U12,U13,U15,U16,U17,U18)</f>
        <v>202</v>
      </c>
      <c r="V19" s="81">
        <f t="shared" si="0"/>
        <v>240</v>
      </c>
      <c r="W19" s="125">
        <v>92</v>
      </c>
      <c r="X19" s="73">
        <f>SUM(X15:X18,X13,X12,X11,X10,X9)</f>
        <v>47</v>
      </c>
      <c r="Y19" s="35">
        <f>SUM(Y15:Y18,Y13,Y12,Y11,Y10,Y9)</f>
        <v>93</v>
      </c>
      <c r="Z19" s="74">
        <f>SUM(Z15:Z18,Z13,Z12,Z11,Z10,Z9)</f>
        <v>61</v>
      </c>
      <c r="AA19" s="74">
        <f>SUM(AA15:AA18,AA13,AA12,AA11,AA10,AA9)</f>
        <v>50</v>
      </c>
      <c r="AB19" s="134">
        <v>8</v>
      </c>
      <c r="AC19" s="75">
        <f>SUM(AC15:AC18,AC13,AC12,AC11,AC10,AC9)</f>
        <v>0</v>
      </c>
      <c r="AD19" s="74">
        <f>SUM(AD15:AD18,AD13,AD12,AD11,AD10,AD9)</f>
        <v>0</v>
      </c>
      <c r="AE19" s="78">
        <f>SUM(AE15:AE18,AE13,AE12,AE11,AE10,AE9)</f>
        <v>0</v>
      </c>
    </row>
    <row r="20" spans="1:31" ht="18" customHeight="1" thickTop="1">
      <c r="A20" s="28" t="s">
        <v>48</v>
      </c>
      <c r="B20" s="31"/>
      <c r="C20" s="31"/>
      <c r="D20" s="174"/>
      <c r="E20" s="149"/>
      <c r="F20" s="62"/>
      <c r="G20" s="62"/>
      <c r="H20" s="171"/>
      <c r="I20" s="64"/>
      <c r="J20" s="96"/>
      <c r="K20" s="104"/>
      <c r="L20" s="115"/>
      <c r="M20" s="33"/>
      <c r="N20" s="36"/>
      <c r="O20" s="115"/>
      <c r="P20" s="155"/>
      <c r="Q20" s="115"/>
      <c r="R20" s="155"/>
      <c r="S20" s="150"/>
      <c r="T20" s="155"/>
      <c r="U20" s="104"/>
      <c r="V20" s="83"/>
      <c r="W20" s="140"/>
      <c r="X20" s="32"/>
      <c r="Y20" s="33"/>
      <c r="Z20" s="36"/>
      <c r="AA20" s="36"/>
      <c r="AB20" s="135"/>
      <c r="AC20" s="60"/>
      <c r="AD20" s="36"/>
      <c r="AE20" s="123"/>
    </row>
    <row r="21" spans="1:31" ht="17.45" customHeight="1">
      <c r="A21" s="24" t="s">
        <v>49</v>
      </c>
      <c r="B21" s="3">
        <v>64</v>
      </c>
      <c r="C21" s="15">
        <v>30</v>
      </c>
      <c r="D21" s="179">
        <v>50</v>
      </c>
      <c r="E21" s="68">
        <v>27</v>
      </c>
      <c r="F21" s="69">
        <v>26</v>
      </c>
      <c r="G21" s="69">
        <v>16</v>
      </c>
      <c r="H21" s="194">
        <v>40</v>
      </c>
      <c r="I21" s="31">
        <v>16</v>
      </c>
      <c r="J21" s="79">
        <v>13</v>
      </c>
      <c r="K21" s="57">
        <v>11</v>
      </c>
      <c r="L21" s="67">
        <v>20</v>
      </c>
      <c r="M21" s="79">
        <v>14</v>
      </c>
      <c r="N21" s="67">
        <v>18</v>
      </c>
      <c r="O21" s="141">
        <v>20</v>
      </c>
      <c r="P21" s="31">
        <v>3</v>
      </c>
      <c r="Q21" s="31">
        <v>5</v>
      </c>
      <c r="R21" s="84">
        <v>7</v>
      </c>
      <c r="S21" s="67">
        <v>20</v>
      </c>
      <c r="T21" s="31">
        <v>0</v>
      </c>
      <c r="U21" s="31">
        <v>3</v>
      </c>
      <c r="V21" s="79">
        <v>2</v>
      </c>
      <c r="W21" s="124">
        <v>5</v>
      </c>
      <c r="X21" s="31">
        <v>0</v>
      </c>
      <c r="Y21" s="31">
        <v>0</v>
      </c>
      <c r="Z21" s="67">
        <v>0</v>
      </c>
      <c r="AA21" s="67">
        <v>1</v>
      </c>
      <c r="AB21" s="116">
        <v>0</v>
      </c>
      <c r="AC21" s="66"/>
      <c r="AD21" s="67"/>
      <c r="AE21" s="70"/>
    </row>
    <row r="22" spans="1:31" ht="18" customHeight="1">
      <c r="A22" s="24" t="s">
        <v>50</v>
      </c>
      <c r="B22" s="3">
        <v>69</v>
      </c>
      <c r="C22" s="15">
        <v>30</v>
      </c>
      <c r="D22" s="179">
        <v>60</v>
      </c>
      <c r="E22" s="68">
        <v>65</v>
      </c>
      <c r="F22" s="69">
        <v>69</v>
      </c>
      <c r="G22" s="69">
        <v>67</v>
      </c>
      <c r="H22" s="170">
        <v>50</v>
      </c>
      <c r="I22" s="31">
        <v>37</v>
      </c>
      <c r="J22" s="79">
        <v>28</v>
      </c>
      <c r="K22" s="64">
        <v>29</v>
      </c>
      <c r="L22" s="67">
        <v>40</v>
      </c>
      <c r="M22" s="57">
        <v>31</v>
      </c>
      <c r="N22" s="85">
        <v>25</v>
      </c>
      <c r="O22" s="141">
        <v>40</v>
      </c>
      <c r="P22" s="31">
        <v>22</v>
      </c>
      <c r="Q22" s="31">
        <v>35</v>
      </c>
      <c r="R22" s="31">
        <v>26</v>
      </c>
      <c r="S22" s="189">
        <v>30</v>
      </c>
      <c r="T22" s="31">
        <v>12</v>
      </c>
      <c r="U22" s="31">
        <v>11</v>
      </c>
      <c r="V22" s="79">
        <v>11</v>
      </c>
      <c r="W22" s="124">
        <v>10</v>
      </c>
      <c r="X22" s="31">
        <v>0</v>
      </c>
      <c r="Y22" s="31">
        <v>12</v>
      </c>
      <c r="Z22" s="67">
        <v>0</v>
      </c>
      <c r="AA22" s="67">
        <v>0</v>
      </c>
      <c r="AB22" s="116">
        <v>0</v>
      </c>
      <c r="AC22" s="66"/>
      <c r="AD22" s="67"/>
      <c r="AE22" s="70"/>
    </row>
    <row r="23" spans="1:31" ht="28.5" customHeight="1">
      <c r="A23" s="24" t="s">
        <v>51</v>
      </c>
      <c r="B23" s="3">
        <v>145</v>
      </c>
      <c r="C23" s="15">
        <v>30</v>
      </c>
      <c r="D23" s="179">
        <v>125</v>
      </c>
      <c r="E23" s="68">
        <v>147</v>
      </c>
      <c r="F23" s="69">
        <v>102</v>
      </c>
      <c r="G23" s="69">
        <v>102</v>
      </c>
      <c r="H23" s="170">
        <v>100</v>
      </c>
      <c r="I23" s="31">
        <v>70</v>
      </c>
      <c r="J23" s="204">
        <v>27</v>
      </c>
      <c r="K23" s="64">
        <v>47</v>
      </c>
      <c r="L23" s="59">
        <v>60</v>
      </c>
      <c r="M23" s="57">
        <v>41</v>
      </c>
      <c r="N23" s="85">
        <v>52</v>
      </c>
      <c r="O23" s="141">
        <v>60</v>
      </c>
      <c r="P23" s="31">
        <v>47</v>
      </c>
      <c r="Q23" s="31">
        <v>29</v>
      </c>
      <c r="R23" s="31">
        <v>25</v>
      </c>
      <c r="S23" s="189">
        <v>50</v>
      </c>
      <c r="T23" s="31">
        <v>6</v>
      </c>
      <c r="U23" s="59">
        <v>15</v>
      </c>
      <c r="V23" s="79">
        <v>17</v>
      </c>
      <c r="W23" s="124">
        <v>10</v>
      </c>
      <c r="X23" s="59">
        <v>0</v>
      </c>
      <c r="Y23" s="31">
        <v>9</v>
      </c>
      <c r="Z23" s="67">
        <v>0</v>
      </c>
      <c r="AA23" s="67">
        <v>1</v>
      </c>
      <c r="AB23" s="133">
        <v>0</v>
      </c>
      <c r="AC23" s="66"/>
      <c r="AD23" s="67"/>
      <c r="AE23" s="70"/>
    </row>
    <row r="24" spans="1:31" ht="18" customHeight="1">
      <c r="A24" s="24" t="s">
        <v>52</v>
      </c>
      <c r="B24" s="3">
        <v>100</v>
      </c>
      <c r="C24" s="15">
        <v>30</v>
      </c>
      <c r="D24" s="179">
        <v>100</v>
      </c>
      <c r="E24" s="68">
        <v>64</v>
      </c>
      <c r="F24" s="69">
        <v>106</v>
      </c>
      <c r="G24" s="69">
        <v>95</v>
      </c>
      <c r="H24" s="172">
        <v>80</v>
      </c>
      <c r="I24" s="31">
        <v>57</v>
      </c>
      <c r="J24" s="79">
        <v>56</v>
      </c>
      <c r="K24" s="64">
        <v>62</v>
      </c>
      <c r="L24" s="59">
        <v>60</v>
      </c>
      <c r="M24" s="57">
        <v>49</v>
      </c>
      <c r="N24" s="85">
        <v>42</v>
      </c>
      <c r="O24" s="141">
        <v>60</v>
      </c>
      <c r="P24" s="31">
        <v>41</v>
      </c>
      <c r="Q24" s="31">
        <v>49</v>
      </c>
      <c r="R24" s="31">
        <v>57</v>
      </c>
      <c r="S24" s="189">
        <v>50</v>
      </c>
      <c r="T24" s="59">
        <v>10</v>
      </c>
      <c r="U24" s="31">
        <v>16</v>
      </c>
      <c r="V24" s="59">
        <v>18</v>
      </c>
      <c r="W24" s="124">
        <v>10</v>
      </c>
      <c r="X24" s="59">
        <v>1</v>
      </c>
      <c r="Y24" s="59">
        <v>5</v>
      </c>
      <c r="Z24" s="67">
        <v>2</v>
      </c>
      <c r="AA24" s="67">
        <v>1</v>
      </c>
      <c r="AB24" s="116">
        <v>0</v>
      </c>
      <c r="AC24" s="66"/>
      <c r="AD24" s="67"/>
      <c r="AE24" s="70"/>
    </row>
    <row r="25" spans="1:31" ht="18" customHeight="1" thickBot="1">
      <c r="A25" s="25" t="s">
        <v>53</v>
      </c>
      <c r="B25" s="3">
        <v>24</v>
      </c>
      <c r="C25" s="15">
        <v>10</v>
      </c>
      <c r="D25" s="170">
        <v>10</v>
      </c>
      <c r="E25" s="130">
        <v>14</v>
      </c>
      <c r="F25" s="89">
        <v>14</v>
      </c>
      <c r="G25" s="89">
        <v>10</v>
      </c>
      <c r="H25" s="165">
        <v>10</v>
      </c>
      <c r="I25" s="31">
        <v>4</v>
      </c>
      <c r="J25" s="204">
        <v>0</v>
      </c>
      <c r="K25" s="110">
        <v>2</v>
      </c>
      <c r="L25" s="59">
        <v>10</v>
      </c>
      <c r="M25" s="31">
        <v>1</v>
      </c>
      <c r="N25" s="67">
        <v>12</v>
      </c>
      <c r="O25" s="192">
        <v>10</v>
      </c>
      <c r="P25" s="31">
        <v>6</v>
      </c>
      <c r="Q25" s="31">
        <v>9</v>
      </c>
      <c r="R25" s="84">
        <v>6</v>
      </c>
      <c r="S25" s="179">
        <v>10</v>
      </c>
      <c r="T25" s="31">
        <v>1</v>
      </c>
      <c r="U25" s="31">
        <v>6</v>
      </c>
      <c r="V25" s="59">
        <v>3</v>
      </c>
      <c r="W25" s="69">
        <v>5</v>
      </c>
      <c r="X25" s="59">
        <v>0</v>
      </c>
      <c r="Y25" s="31">
        <v>0</v>
      </c>
      <c r="Z25" s="67">
        <v>1</v>
      </c>
      <c r="AA25" s="67">
        <v>0</v>
      </c>
      <c r="AB25" s="133">
        <v>0</v>
      </c>
      <c r="AC25" s="87"/>
      <c r="AD25" s="65"/>
      <c r="AE25" s="127"/>
    </row>
    <row r="26" spans="1:31" s="4" customFormat="1" ht="18" customHeight="1" thickBot="1">
      <c r="A26" s="27" t="s">
        <v>54</v>
      </c>
      <c r="B26" s="29">
        <f>SUM(B21:B25)</f>
        <v>402</v>
      </c>
      <c r="C26" s="37">
        <v>300</v>
      </c>
      <c r="D26" s="199">
        <v>345</v>
      </c>
      <c r="E26" s="131">
        <f>SUM(E21:E25)</f>
        <v>317</v>
      </c>
      <c r="F26" s="77">
        <f>SUM(F21:F25)</f>
        <v>317</v>
      </c>
      <c r="G26" s="77">
        <f>SUM(G21:G25)</f>
        <v>290</v>
      </c>
      <c r="H26" s="173">
        <v>280</v>
      </c>
      <c r="I26" s="103">
        <f>SUM(I21:I25)</f>
        <v>184</v>
      </c>
      <c r="J26" s="117">
        <f>SUM(J21:J25)</f>
        <v>124</v>
      </c>
      <c r="K26" s="136">
        <f>SUM(K21:K25)</f>
        <v>151</v>
      </c>
      <c r="L26" s="74">
        <v>190</v>
      </c>
      <c r="M26" s="90">
        <f>SUM(M21:M25)</f>
        <v>136</v>
      </c>
      <c r="N26" s="91">
        <f>SUM(N21:N25)</f>
        <v>149</v>
      </c>
      <c r="O26" s="153">
        <v>190</v>
      </c>
      <c r="P26" s="92">
        <f>SUM(P21:P25)</f>
        <v>119</v>
      </c>
      <c r="Q26" s="93">
        <f>SUM(Q21:Q25)</f>
        <v>127</v>
      </c>
      <c r="R26" s="94">
        <f>SUM(R21:R25)</f>
        <v>121</v>
      </c>
      <c r="S26" s="101">
        <v>160</v>
      </c>
      <c r="T26" s="90">
        <f>SUM(T21:T25)</f>
        <v>29</v>
      </c>
      <c r="U26" s="73">
        <f>SUM(U21:U25)</f>
        <v>51</v>
      </c>
      <c r="V26" s="94">
        <f>SUM(V21:V25)</f>
        <v>51</v>
      </c>
      <c r="W26" s="100">
        <v>40</v>
      </c>
      <c r="X26" s="73">
        <f>SUM(X21:X25)</f>
        <v>1</v>
      </c>
      <c r="Y26" s="73">
        <f>SUM(Y21:Y25)</f>
        <v>26</v>
      </c>
      <c r="Z26" s="74">
        <f>SUM(Z21:Z25)</f>
        <v>3</v>
      </c>
      <c r="AA26" s="74">
        <f>SUM(AA21:AA25)</f>
        <v>3</v>
      </c>
      <c r="AB26" s="138">
        <v>0</v>
      </c>
      <c r="AC26" s="75">
        <f>SUM(AC21:AC25)</f>
        <v>0</v>
      </c>
      <c r="AD26" s="74">
        <f>SUM(AD21:AD25)</f>
        <v>0</v>
      </c>
      <c r="AE26" s="128">
        <f>SUM(AE21:AE25)</f>
        <v>0</v>
      </c>
    </row>
    <row r="27" spans="1:31" s="22" customFormat="1" ht="18" customHeight="1" thickBot="1">
      <c r="A27" s="249" t="s">
        <v>55</v>
      </c>
      <c r="B27" s="29">
        <v>18</v>
      </c>
      <c r="C27" s="37">
        <v>10</v>
      </c>
      <c r="D27" s="161">
        <v>20</v>
      </c>
      <c r="E27" s="132">
        <v>15</v>
      </c>
      <c r="F27" s="69">
        <v>27</v>
      </c>
      <c r="G27" s="69">
        <v>22</v>
      </c>
      <c r="H27" s="172">
        <v>20</v>
      </c>
      <c r="I27" s="33">
        <v>12</v>
      </c>
      <c r="J27" s="36">
        <v>15</v>
      </c>
      <c r="K27" s="137">
        <v>21</v>
      </c>
      <c r="L27" s="154">
        <v>10</v>
      </c>
      <c r="M27" s="33">
        <v>15</v>
      </c>
      <c r="N27" s="32">
        <v>17</v>
      </c>
      <c r="O27" s="65">
        <v>10</v>
      </c>
      <c r="P27" s="31">
        <v>18</v>
      </c>
      <c r="Q27" s="31">
        <v>20</v>
      </c>
      <c r="R27" s="67">
        <v>25</v>
      </c>
      <c r="S27" s="183">
        <v>10</v>
      </c>
      <c r="T27" s="65">
        <v>11</v>
      </c>
      <c r="U27" s="59">
        <v>5</v>
      </c>
      <c r="V27" s="59">
        <v>8</v>
      </c>
      <c r="W27" s="69">
        <v>5</v>
      </c>
      <c r="X27" s="59">
        <v>3</v>
      </c>
      <c r="Y27" s="59">
        <v>2</v>
      </c>
      <c r="Z27" s="67">
        <v>0</v>
      </c>
      <c r="AA27" s="67">
        <v>2</v>
      </c>
      <c r="AB27" s="207">
        <v>0</v>
      </c>
      <c r="AC27" s="95"/>
      <c r="AD27" s="95"/>
      <c r="AE27" s="124"/>
    </row>
    <row r="28" spans="1:31" s="22" customFormat="1" ht="18" customHeight="1" thickBot="1">
      <c r="A28" s="250" t="s">
        <v>56</v>
      </c>
      <c r="B28" s="29">
        <v>11</v>
      </c>
      <c r="C28" s="37">
        <v>10</v>
      </c>
      <c r="D28" s="161">
        <v>15</v>
      </c>
      <c r="E28" s="69">
        <v>10</v>
      </c>
      <c r="F28" s="69">
        <v>14</v>
      </c>
      <c r="G28" s="69">
        <v>15</v>
      </c>
      <c r="H28" s="172">
        <v>15</v>
      </c>
      <c r="I28" s="31">
        <v>11</v>
      </c>
      <c r="J28" s="67">
        <v>3</v>
      </c>
      <c r="K28" s="79">
        <v>0</v>
      </c>
      <c r="L28" s="85">
        <v>15</v>
      </c>
      <c r="M28" s="31">
        <v>0</v>
      </c>
      <c r="N28" s="57">
        <v>7</v>
      </c>
      <c r="O28" s="65">
        <v>15</v>
      </c>
      <c r="P28" s="31">
        <v>1</v>
      </c>
      <c r="Q28" s="31">
        <v>7</v>
      </c>
      <c r="R28" s="67">
        <v>4</v>
      </c>
      <c r="S28" s="67">
        <v>15</v>
      </c>
      <c r="T28" s="65">
        <v>2</v>
      </c>
      <c r="U28" s="59">
        <v>7</v>
      </c>
      <c r="V28" s="59">
        <v>12</v>
      </c>
      <c r="W28" s="183">
        <v>10</v>
      </c>
      <c r="X28" s="96">
        <v>1</v>
      </c>
      <c r="Y28" s="59">
        <v>0</v>
      </c>
      <c r="Z28" s="67">
        <v>4</v>
      </c>
      <c r="AA28" s="67">
        <v>4</v>
      </c>
      <c r="AB28" s="36">
        <v>0</v>
      </c>
      <c r="AC28" s="65"/>
      <c r="AD28" s="67"/>
      <c r="AE28" s="69"/>
    </row>
    <row r="29" spans="1:31" s="22" customFormat="1" ht="18" customHeight="1" thickBot="1">
      <c r="A29" s="249" t="s">
        <v>57</v>
      </c>
      <c r="B29" s="29">
        <v>48</v>
      </c>
      <c r="C29" s="37">
        <v>20</v>
      </c>
      <c r="D29" s="161">
        <v>75</v>
      </c>
      <c r="E29" s="69">
        <v>39</v>
      </c>
      <c r="F29" s="69">
        <v>125</v>
      </c>
      <c r="G29" s="69">
        <v>94</v>
      </c>
      <c r="H29" s="170">
        <v>75</v>
      </c>
      <c r="I29" s="31">
        <v>82</v>
      </c>
      <c r="J29" s="67">
        <v>124</v>
      </c>
      <c r="K29" s="79">
        <v>109</v>
      </c>
      <c r="L29" s="119">
        <v>50</v>
      </c>
      <c r="M29" s="31">
        <v>66</v>
      </c>
      <c r="N29" s="57">
        <v>63</v>
      </c>
      <c r="O29" s="31">
        <v>50</v>
      </c>
      <c r="P29" s="31">
        <v>84</v>
      </c>
      <c r="Q29" s="31">
        <v>88</v>
      </c>
      <c r="R29" s="67">
        <v>57</v>
      </c>
      <c r="S29" s="67">
        <v>40</v>
      </c>
      <c r="T29" s="65">
        <v>31</v>
      </c>
      <c r="U29" s="59">
        <v>41</v>
      </c>
      <c r="V29" s="59">
        <v>41</v>
      </c>
      <c r="W29" s="183">
        <v>20</v>
      </c>
      <c r="X29" s="97">
        <v>18</v>
      </c>
      <c r="Y29" s="79">
        <v>28</v>
      </c>
      <c r="Z29" s="67">
        <v>17</v>
      </c>
      <c r="AA29" s="67">
        <v>14</v>
      </c>
      <c r="AB29" s="67">
        <v>0</v>
      </c>
      <c r="AC29" s="65"/>
      <c r="AD29" s="67"/>
      <c r="AE29" s="69"/>
    </row>
    <row r="30" spans="1:31" ht="18" customHeight="1" thickBot="1">
      <c r="A30" s="251" t="s">
        <v>58</v>
      </c>
      <c r="B30" s="31"/>
      <c r="C30" s="31"/>
      <c r="D30" s="171"/>
      <c r="E30" s="149"/>
      <c r="F30" s="62"/>
      <c r="G30" s="62"/>
      <c r="H30" s="165"/>
      <c r="I30" s="64"/>
      <c r="J30" s="35"/>
      <c r="K30" s="64"/>
      <c r="L30" s="31"/>
      <c r="M30" s="31"/>
      <c r="N30" s="79"/>
      <c r="O30" s="116"/>
      <c r="P30" s="64"/>
      <c r="Q30" s="33"/>
      <c r="R30" s="36"/>
      <c r="S30" s="116"/>
      <c r="T30" s="104"/>
      <c r="U30" s="33"/>
      <c r="V30" s="36"/>
      <c r="W30" s="139"/>
      <c r="X30" s="104"/>
      <c r="Y30" s="33"/>
      <c r="Z30" s="36"/>
      <c r="AA30" s="36"/>
      <c r="AB30" s="135"/>
      <c r="AC30" s="152"/>
      <c r="AD30" s="36"/>
      <c r="AE30" s="123"/>
    </row>
    <row r="31" spans="1:31" ht="18" customHeight="1">
      <c r="A31" s="24" t="s">
        <v>59</v>
      </c>
      <c r="B31" s="3">
        <v>11</v>
      </c>
      <c r="C31" s="15">
        <v>10</v>
      </c>
      <c r="D31" s="164">
        <v>10</v>
      </c>
      <c r="E31" s="68">
        <v>5</v>
      </c>
      <c r="F31" s="69">
        <v>24</v>
      </c>
      <c r="G31" s="69">
        <v>12</v>
      </c>
      <c r="H31" s="163">
        <v>10</v>
      </c>
      <c r="I31" s="31">
        <v>12</v>
      </c>
      <c r="J31" s="31">
        <v>0</v>
      </c>
      <c r="K31" s="31">
        <v>10</v>
      </c>
      <c r="L31" s="67">
        <v>10</v>
      </c>
      <c r="M31" s="31">
        <v>5</v>
      </c>
      <c r="N31" s="79">
        <v>5</v>
      </c>
      <c r="O31" s="67">
        <v>10</v>
      </c>
      <c r="P31" s="57">
        <v>2</v>
      </c>
      <c r="Q31" s="31">
        <v>7</v>
      </c>
      <c r="R31" s="79">
        <v>5</v>
      </c>
      <c r="S31" s="69">
        <v>10</v>
      </c>
      <c r="T31" s="31">
        <v>13</v>
      </c>
      <c r="U31" s="31">
        <v>2</v>
      </c>
      <c r="V31" s="79">
        <v>1</v>
      </c>
      <c r="W31" s="182">
        <v>10</v>
      </c>
      <c r="X31" s="31">
        <v>0</v>
      </c>
      <c r="Y31" s="31">
        <v>0</v>
      </c>
      <c r="Z31" s="67">
        <v>8</v>
      </c>
      <c r="AA31" s="67">
        <v>4</v>
      </c>
      <c r="AB31" s="179">
        <v>10</v>
      </c>
      <c r="AC31" s="67"/>
      <c r="AD31" s="142"/>
      <c r="AE31" s="70"/>
    </row>
    <row r="32" spans="1:31" ht="18" customHeight="1">
      <c r="A32" s="23" t="s">
        <v>60</v>
      </c>
      <c r="B32" s="3">
        <v>34</v>
      </c>
      <c r="C32" s="15">
        <v>20</v>
      </c>
      <c r="D32" s="164">
        <v>40</v>
      </c>
      <c r="E32" s="68">
        <v>35</v>
      </c>
      <c r="F32" s="69">
        <v>35</v>
      </c>
      <c r="G32" s="69">
        <v>45</v>
      </c>
      <c r="H32" s="179">
        <v>40</v>
      </c>
      <c r="I32" s="31">
        <v>29</v>
      </c>
      <c r="J32" s="31">
        <v>19</v>
      </c>
      <c r="K32" s="31">
        <v>17</v>
      </c>
      <c r="L32" s="116">
        <v>30</v>
      </c>
      <c r="M32" s="31">
        <v>13</v>
      </c>
      <c r="N32" s="31">
        <v>16</v>
      </c>
      <c r="O32" s="69">
        <v>30</v>
      </c>
      <c r="P32" s="57">
        <v>25</v>
      </c>
      <c r="Q32" s="31">
        <v>12</v>
      </c>
      <c r="R32" s="31">
        <v>56</v>
      </c>
      <c r="S32" s="67">
        <v>25</v>
      </c>
      <c r="T32" s="31">
        <v>46</v>
      </c>
      <c r="U32" s="31">
        <v>51</v>
      </c>
      <c r="V32" s="79">
        <v>24</v>
      </c>
      <c r="W32" s="182">
        <v>20</v>
      </c>
      <c r="X32" s="66">
        <v>23</v>
      </c>
      <c r="Y32" s="67">
        <v>20</v>
      </c>
      <c r="Z32" s="142">
        <v>31</v>
      </c>
      <c r="AA32" s="142">
        <v>23</v>
      </c>
      <c r="AB32" s="31">
        <v>10</v>
      </c>
      <c r="AC32" s="68"/>
      <c r="AD32" s="67"/>
      <c r="AE32" s="70"/>
    </row>
    <row r="33" spans="1:31" ht="18" customHeight="1" thickBot="1">
      <c r="A33" s="25" t="s">
        <v>61</v>
      </c>
      <c r="B33" s="3">
        <v>13</v>
      </c>
      <c r="C33" s="15">
        <v>10</v>
      </c>
      <c r="D33" s="164">
        <v>20</v>
      </c>
      <c r="E33" s="88">
        <v>34</v>
      </c>
      <c r="F33" s="89">
        <v>41</v>
      </c>
      <c r="G33" s="89">
        <v>33</v>
      </c>
      <c r="H33" s="165">
        <v>20</v>
      </c>
      <c r="I33" s="31">
        <v>28</v>
      </c>
      <c r="J33" s="31">
        <v>21</v>
      </c>
      <c r="K33" s="64">
        <v>29</v>
      </c>
      <c r="L33" s="116">
        <v>20</v>
      </c>
      <c r="M33" s="31">
        <v>23</v>
      </c>
      <c r="N33" s="79">
        <v>40</v>
      </c>
      <c r="O33" s="67">
        <v>20</v>
      </c>
      <c r="P33" s="57">
        <v>25</v>
      </c>
      <c r="Q33" s="31">
        <v>39</v>
      </c>
      <c r="R33" s="79">
        <v>34</v>
      </c>
      <c r="S33" s="65">
        <v>20</v>
      </c>
      <c r="T33" s="57">
        <v>15</v>
      </c>
      <c r="U33" s="31">
        <v>35</v>
      </c>
      <c r="V33" s="79">
        <v>30</v>
      </c>
      <c r="W33" s="182">
        <v>20</v>
      </c>
      <c r="X33" s="57">
        <v>35</v>
      </c>
      <c r="Y33" s="31">
        <v>24</v>
      </c>
      <c r="Z33" s="67">
        <v>24</v>
      </c>
      <c r="AA33" s="67">
        <v>17</v>
      </c>
      <c r="AB33" s="180">
        <v>10</v>
      </c>
      <c r="AC33" s="66"/>
      <c r="AD33" s="67"/>
      <c r="AE33" s="70"/>
    </row>
    <row r="34" spans="1:31" ht="18" customHeight="1" thickBot="1">
      <c r="A34" s="24" t="s">
        <v>62</v>
      </c>
      <c r="B34" s="3">
        <v>11</v>
      </c>
      <c r="C34" s="15">
        <v>10</v>
      </c>
      <c r="D34" s="164">
        <v>15</v>
      </c>
      <c r="E34" s="69">
        <v>14</v>
      </c>
      <c r="F34" s="70">
        <v>27</v>
      </c>
      <c r="G34" s="89">
        <v>23</v>
      </c>
      <c r="H34" s="163">
        <v>15</v>
      </c>
      <c r="I34" s="31">
        <v>12</v>
      </c>
      <c r="J34" s="31">
        <v>16</v>
      </c>
      <c r="K34" s="64">
        <v>15</v>
      </c>
      <c r="L34" s="67">
        <v>15</v>
      </c>
      <c r="M34" s="31">
        <v>14</v>
      </c>
      <c r="N34" s="79">
        <v>18</v>
      </c>
      <c r="O34" s="67">
        <v>15</v>
      </c>
      <c r="P34" s="57">
        <v>16</v>
      </c>
      <c r="Q34" s="31">
        <v>16</v>
      </c>
      <c r="R34" s="79">
        <v>11</v>
      </c>
      <c r="S34" s="67">
        <v>15</v>
      </c>
      <c r="T34" s="31">
        <v>13</v>
      </c>
      <c r="U34" s="31">
        <v>16</v>
      </c>
      <c r="V34" s="79">
        <v>10</v>
      </c>
      <c r="W34" s="182">
        <v>15</v>
      </c>
      <c r="X34" s="31">
        <v>14</v>
      </c>
      <c r="Y34" s="31">
        <v>11</v>
      </c>
      <c r="Z34" s="67">
        <v>10</v>
      </c>
      <c r="AA34" s="67">
        <v>9</v>
      </c>
      <c r="AB34" s="180">
        <v>10</v>
      </c>
      <c r="AC34" s="66"/>
      <c r="AD34" s="67"/>
      <c r="AE34" s="70"/>
    </row>
    <row r="35" spans="1:31" ht="18" customHeight="1">
      <c r="A35" s="24" t="s">
        <v>63</v>
      </c>
      <c r="B35" s="3">
        <v>55</v>
      </c>
      <c r="C35" s="15">
        <v>30</v>
      </c>
      <c r="D35" s="164">
        <v>100</v>
      </c>
      <c r="E35" s="68">
        <v>48</v>
      </c>
      <c r="F35" s="69">
        <v>130</v>
      </c>
      <c r="G35" s="69">
        <v>71</v>
      </c>
      <c r="H35" s="194">
        <v>100</v>
      </c>
      <c r="I35" s="31">
        <v>59</v>
      </c>
      <c r="J35" s="31">
        <v>73</v>
      </c>
      <c r="K35" s="71">
        <v>70</v>
      </c>
      <c r="L35" s="67">
        <v>80</v>
      </c>
      <c r="M35" s="31">
        <v>67</v>
      </c>
      <c r="N35" s="79">
        <v>82</v>
      </c>
      <c r="O35" s="67">
        <v>80</v>
      </c>
      <c r="P35" s="57">
        <v>60</v>
      </c>
      <c r="Q35" s="31">
        <v>69</v>
      </c>
      <c r="R35" s="79">
        <v>38</v>
      </c>
      <c r="S35" s="67">
        <v>60</v>
      </c>
      <c r="T35" s="57">
        <v>46</v>
      </c>
      <c r="U35" s="31">
        <v>53</v>
      </c>
      <c r="V35" s="79">
        <v>44</v>
      </c>
      <c r="W35" s="182">
        <v>45</v>
      </c>
      <c r="X35" s="31">
        <v>24</v>
      </c>
      <c r="Y35" s="31">
        <v>16</v>
      </c>
      <c r="Z35" s="67">
        <v>13</v>
      </c>
      <c r="AA35" s="67">
        <v>26</v>
      </c>
      <c r="AB35" s="71">
        <v>5</v>
      </c>
      <c r="AC35" s="66"/>
      <c r="AD35" s="67"/>
      <c r="AE35" s="70"/>
    </row>
    <row r="36" spans="1:31" ht="18" customHeight="1">
      <c r="A36" s="25" t="s">
        <v>64</v>
      </c>
      <c r="B36" s="3">
        <v>23</v>
      </c>
      <c r="C36" s="15">
        <v>10</v>
      </c>
      <c r="D36" s="169">
        <v>30</v>
      </c>
      <c r="E36" s="69">
        <v>46</v>
      </c>
      <c r="F36" s="98">
        <v>89</v>
      </c>
      <c r="G36" s="98">
        <v>44</v>
      </c>
      <c r="H36" s="195">
        <v>30</v>
      </c>
      <c r="I36" s="31">
        <v>40</v>
      </c>
      <c r="J36" s="31">
        <v>63</v>
      </c>
      <c r="K36" s="71">
        <v>40</v>
      </c>
      <c r="L36" s="114">
        <v>25</v>
      </c>
      <c r="M36" s="72">
        <v>31</v>
      </c>
      <c r="N36" s="59">
        <v>42</v>
      </c>
      <c r="O36" s="65">
        <v>25</v>
      </c>
      <c r="P36" s="58">
        <v>34</v>
      </c>
      <c r="Q36" s="72">
        <v>37</v>
      </c>
      <c r="R36" s="59">
        <v>34</v>
      </c>
      <c r="S36" s="65">
        <v>20</v>
      </c>
      <c r="T36" s="58">
        <v>41</v>
      </c>
      <c r="U36" s="72">
        <v>21</v>
      </c>
      <c r="V36" s="59">
        <v>38</v>
      </c>
      <c r="W36" s="184">
        <v>10</v>
      </c>
      <c r="X36" s="58">
        <v>17</v>
      </c>
      <c r="Y36" s="72">
        <v>14</v>
      </c>
      <c r="Z36" s="65">
        <v>14</v>
      </c>
      <c r="AA36" s="65">
        <v>25</v>
      </c>
      <c r="AB36" s="71">
        <v>5</v>
      </c>
      <c r="AC36" s="87"/>
      <c r="AD36" s="65"/>
      <c r="AE36" s="99"/>
    </row>
    <row r="37" spans="1:31" s="22" customFormat="1" ht="18" customHeight="1" thickBot="1">
      <c r="A37" s="25" t="s">
        <v>65</v>
      </c>
      <c r="B37" s="3">
        <v>13</v>
      </c>
      <c r="C37" s="15">
        <v>10</v>
      </c>
      <c r="D37" s="169">
        <v>10</v>
      </c>
      <c r="E37" s="100">
        <v>14</v>
      </c>
      <c r="F37" s="100">
        <v>42</v>
      </c>
      <c r="G37" s="69">
        <v>41</v>
      </c>
      <c r="H37" s="167">
        <v>10</v>
      </c>
      <c r="I37" s="31">
        <v>30</v>
      </c>
      <c r="J37" s="31">
        <v>28</v>
      </c>
      <c r="K37" s="31">
        <v>20</v>
      </c>
      <c r="L37" s="31">
        <v>10</v>
      </c>
      <c r="M37" s="31">
        <v>17</v>
      </c>
      <c r="N37" s="31">
        <v>21</v>
      </c>
      <c r="O37" s="193">
        <v>10</v>
      </c>
      <c r="P37" s="71">
        <v>16</v>
      </c>
      <c r="Q37" s="31">
        <v>16</v>
      </c>
      <c r="R37" s="58">
        <v>11</v>
      </c>
      <c r="S37" s="189">
        <v>10</v>
      </c>
      <c r="T37" s="57">
        <v>34</v>
      </c>
      <c r="U37" s="31">
        <v>18</v>
      </c>
      <c r="V37" s="67">
        <v>21</v>
      </c>
      <c r="W37" s="185">
        <v>10</v>
      </c>
      <c r="X37" s="31">
        <v>9</v>
      </c>
      <c r="Y37" s="31">
        <v>2</v>
      </c>
      <c r="Z37" s="65">
        <v>3</v>
      </c>
      <c r="AA37" s="65">
        <v>6</v>
      </c>
      <c r="AB37" s="31">
        <v>0</v>
      </c>
      <c r="AC37" s="66"/>
      <c r="AD37" s="67"/>
      <c r="AE37" s="100"/>
    </row>
    <row r="38" spans="1:31" s="22" customFormat="1" ht="18" customHeight="1" thickBot="1">
      <c r="A38" s="252" t="s">
        <v>66</v>
      </c>
      <c r="B38" s="34">
        <f>SUM(B31:B37)</f>
        <v>160</v>
      </c>
      <c r="C38" s="253">
        <v>100</v>
      </c>
      <c r="D38" s="161">
        <v>225</v>
      </c>
      <c r="E38" s="100">
        <f>SUM(E31:E37)</f>
        <v>196</v>
      </c>
      <c r="F38" s="100">
        <f>SUM(F31:F37)</f>
        <v>388</v>
      </c>
      <c r="G38" s="100">
        <f>SUM(G31:G37)</f>
        <v>269</v>
      </c>
      <c r="H38" s="166">
        <v>225</v>
      </c>
      <c r="I38" s="103">
        <f>SUM(I31:I37)</f>
        <v>210</v>
      </c>
      <c r="J38" s="103">
        <f>SUM(J31:J37)</f>
        <v>220</v>
      </c>
      <c r="K38" s="101">
        <f>SUM(K31:K37)</f>
        <v>201</v>
      </c>
      <c r="L38" s="101">
        <v>190</v>
      </c>
      <c r="M38" s="101">
        <f>SUM(M31:M37)</f>
        <v>170</v>
      </c>
      <c r="N38" s="101">
        <f>SUM(N31:N37)</f>
        <v>224</v>
      </c>
      <c r="O38" s="35">
        <v>190</v>
      </c>
      <c r="P38" s="208">
        <f>SUM(P31:P37)</f>
        <v>178</v>
      </c>
      <c r="Q38" s="101">
        <f>SUM(Q31:Q37)</f>
        <v>196</v>
      </c>
      <c r="R38" s="102">
        <f>SUM(R31:R37)</f>
        <v>189</v>
      </c>
      <c r="S38" s="35">
        <v>160</v>
      </c>
      <c r="T38" s="102">
        <f>SUM(T31:T37)</f>
        <v>208</v>
      </c>
      <c r="U38" s="101">
        <f>SUM(U31:U37)</f>
        <v>196</v>
      </c>
      <c r="V38" s="35">
        <f>SUM(V31:V37)</f>
        <v>168</v>
      </c>
      <c r="W38" s="185">
        <v>130</v>
      </c>
      <c r="X38" s="137">
        <f>SUM(X31:X37)</f>
        <v>122</v>
      </c>
      <c r="Y38" s="101">
        <f>SUM(Y31:Y37)</f>
        <v>87</v>
      </c>
      <c r="Z38" s="254">
        <f>SUM(Z31:Z37)</f>
        <v>103</v>
      </c>
      <c r="AA38" s="254">
        <f>SUM(AA31:AA37)</f>
        <v>110</v>
      </c>
      <c r="AB38" s="101">
        <v>50</v>
      </c>
      <c r="AC38" s="35">
        <f>SUM(AC31:AC37)</f>
        <v>0</v>
      </c>
      <c r="AD38" s="35">
        <f>SUM(AD31:AD37)</f>
        <v>0</v>
      </c>
      <c r="AE38" s="100">
        <f>SUM(AE31:AE37)</f>
        <v>0</v>
      </c>
    </row>
    <row r="39" spans="1:31" ht="18" customHeight="1">
      <c r="A39" s="255" t="s">
        <v>67</v>
      </c>
      <c r="B39" s="31"/>
      <c r="C39" s="31"/>
      <c r="D39" s="171"/>
      <c r="E39" s="149"/>
      <c r="F39" s="62"/>
      <c r="G39" s="62"/>
      <c r="H39" s="165"/>
      <c r="I39" s="64"/>
      <c r="J39" s="67"/>
      <c r="K39" s="104"/>
      <c r="L39" s="116"/>
      <c r="M39" s="33"/>
      <c r="N39" s="83"/>
      <c r="O39" s="116"/>
      <c r="P39" s="64"/>
      <c r="Q39" s="33"/>
      <c r="R39" s="36"/>
      <c r="S39" s="116"/>
      <c r="T39" s="104"/>
      <c r="U39" s="33"/>
      <c r="V39" s="36"/>
      <c r="W39" s="139"/>
      <c r="X39" s="104"/>
      <c r="Y39" s="33"/>
      <c r="Z39" s="36"/>
      <c r="AA39" s="36"/>
      <c r="AB39" s="116"/>
      <c r="AC39" s="104"/>
      <c r="AD39" s="36"/>
      <c r="AE39" s="123"/>
    </row>
    <row r="40" spans="1:31" ht="18" customHeight="1">
      <c r="A40" s="24" t="s">
        <v>68</v>
      </c>
      <c r="B40" s="3">
        <v>11</v>
      </c>
      <c r="C40" s="15">
        <v>5</v>
      </c>
      <c r="D40" s="164">
        <v>10</v>
      </c>
      <c r="E40" s="132">
        <v>20</v>
      </c>
      <c r="F40" s="69">
        <v>28</v>
      </c>
      <c r="G40" s="69">
        <v>12</v>
      </c>
      <c r="H40" s="163">
        <v>10</v>
      </c>
      <c r="I40" s="31">
        <v>15</v>
      </c>
      <c r="J40" s="57">
        <v>13</v>
      </c>
      <c r="K40" s="79">
        <v>6</v>
      </c>
      <c r="L40" s="65">
        <v>10</v>
      </c>
      <c r="M40" s="79">
        <v>9</v>
      </c>
      <c r="N40" s="79">
        <v>6</v>
      </c>
      <c r="O40" s="116">
        <v>10</v>
      </c>
      <c r="P40" s="57">
        <v>16</v>
      </c>
      <c r="Q40" s="79">
        <v>16</v>
      </c>
      <c r="R40" s="79">
        <v>14</v>
      </c>
      <c r="S40" s="179">
        <v>10</v>
      </c>
      <c r="T40" s="31">
        <v>10</v>
      </c>
      <c r="U40" s="31">
        <v>12</v>
      </c>
      <c r="V40" s="79">
        <v>13</v>
      </c>
      <c r="W40" s="182">
        <v>5</v>
      </c>
      <c r="X40" s="72">
        <v>0</v>
      </c>
      <c r="Y40" s="67">
        <v>1</v>
      </c>
      <c r="Z40" s="31">
        <v>0</v>
      </c>
      <c r="AA40" s="31">
        <v>0</v>
      </c>
      <c r="AB40" s="116">
        <v>0</v>
      </c>
      <c r="AC40" s="66"/>
      <c r="AD40" s="67"/>
      <c r="AE40" s="70"/>
    </row>
    <row r="41" spans="1:31" ht="18" customHeight="1">
      <c r="A41" s="24" t="s">
        <v>69</v>
      </c>
      <c r="B41" s="3">
        <v>18</v>
      </c>
      <c r="C41" s="15">
        <v>10</v>
      </c>
      <c r="D41" s="164">
        <v>15</v>
      </c>
      <c r="E41" s="132">
        <v>34</v>
      </c>
      <c r="F41" s="69">
        <v>38</v>
      </c>
      <c r="G41" s="69">
        <v>26</v>
      </c>
      <c r="H41" s="189">
        <v>15</v>
      </c>
      <c r="I41" s="31">
        <v>23</v>
      </c>
      <c r="J41" s="79">
        <v>14</v>
      </c>
      <c r="K41" s="64">
        <v>12</v>
      </c>
      <c r="L41" s="65">
        <v>10</v>
      </c>
      <c r="M41" s="31">
        <v>16</v>
      </c>
      <c r="N41" s="79">
        <v>15</v>
      </c>
      <c r="O41" s="116">
        <v>10</v>
      </c>
      <c r="P41" s="57">
        <v>13</v>
      </c>
      <c r="Q41" s="79">
        <v>13</v>
      </c>
      <c r="R41" s="79">
        <v>23</v>
      </c>
      <c r="S41" s="179">
        <v>10</v>
      </c>
      <c r="T41" s="31">
        <v>14</v>
      </c>
      <c r="U41" s="31">
        <v>11</v>
      </c>
      <c r="V41" s="79">
        <v>19</v>
      </c>
      <c r="W41" s="124">
        <v>5</v>
      </c>
      <c r="X41" s="72">
        <v>1</v>
      </c>
      <c r="Y41" s="31">
        <v>0</v>
      </c>
      <c r="Z41" s="31">
        <v>0</v>
      </c>
      <c r="AA41" s="31">
        <v>1</v>
      </c>
      <c r="AB41" s="116">
        <v>0</v>
      </c>
      <c r="AC41" s="67"/>
      <c r="AD41" s="67"/>
      <c r="AE41" s="70"/>
    </row>
    <row r="42" spans="1:31" ht="18" customHeight="1">
      <c r="A42" s="24" t="s">
        <v>70</v>
      </c>
      <c r="B42" s="3">
        <v>26</v>
      </c>
      <c r="C42" s="15">
        <v>10</v>
      </c>
      <c r="D42" s="189">
        <v>25</v>
      </c>
      <c r="E42" s="132">
        <v>23</v>
      </c>
      <c r="F42" s="69">
        <v>52</v>
      </c>
      <c r="G42" s="69">
        <v>44</v>
      </c>
      <c r="H42" s="163">
        <v>20</v>
      </c>
      <c r="I42" s="31">
        <v>23</v>
      </c>
      <c r="J42" s="79">
        <v>22</v>
      </c>
      <c r="K42" s="79">
        <v>8</v>
      </c>
      <c r="L42" s="65">
        <v>10</v>
      </c>
      <c r="M42" s="79">
        <v>21</v>
      </c>
      <c r="N42" s="79">
        <v>11</v>
      </c>
      <c r="O42" s="116">
        <v>10</v>
      </c>
      <c r="P42" s="79">
        <v>28</v>
      </c>
      <c r="Q42" s="79">
        <v>29</v>
      </c>
      <c r="R42" s="79">
        <v>27</v>
      </c>
      <c r="S42" s="179">
        <v>10</v>
      </c>
      <c r="T42" s="31">
        <v>16</v>
      </c>
      <c r="U42" s="31">
        <v>17</v>
      </c>
      <c r="V42" s="79">
        <v>17</v>
      </c>
      <c r="W42" s="124">
        <v>5</v>
      </c>
      <c r="X42" s="72">
        <v>0</v>
      </c>
      <c r="Y42" s="86">
        <v>1</v>
      </c>
      <c r="Z42" s="31">
        <v>2</v>
      </c>
      <c r="AA42" s="31">
        <v>4</v>
      </c>
      <c r="AB42" s="79">
        <v>0</v>
      </c>
      <c r="AC42" s="66"/>
      <c r="AD42" s="67"/>
      <c r="AE42" s="70"/>
    </row>
    <row r="43" spans="1:31" ht="18" customHeight="1" thickBot="1">
      <c r="A43" s="25" t="s">
        <v>71</v>
      </c>
      <c r="B43" s="3">
        <v>13</v>
      </c>
      <c r="C43" s="15">
        <v>5</v>
      </c>
      <c r="D43" s="163">
        <v>10</v>
      </c>
      <c r="E43" s="130">
        <v>19</v>
      </c>
      <c r="F43" s="89">
        <v>28</v>
      </c>
      <c r="G43" s="89">
        <v>16</v>
      </c>
      <c r="H43" s="189">
        <v>10</v>
      </c>
      <c r="I43" s="31">
        <v>15</v>
      </c>
      <c r="J43" s="57">
        <v>14</v>
      </c>
      <c r="K43" s="79">
        <v>16</v>
      </c>
      <c r="L43" s="65">
        <v>5</v>
      </c>
      <c r="M43" s="79">
        <v>14</v>
      </c>
      <c r="N43" s="79">
        <v>14</v>
      </c>
      <c r="O43" s="64">
        <v>5</v>
      </c>
      <c r="P43" s="79">
        <v>17</v>
      </c>
      <c r="Q43" s="79">
        <v>12</v>
      </c>
      <c r="R43" s="79">
        <v>8</v>
      </c>
      <c r="S43" s="31">
        <v>5</v>
      </c>
      <c r="T43" s="31">
        <v>11</v>
      </c>
      <c r="U43" s="31">
        <v>15</v>
      </c>
      <c r="V43" s="79">
        <v>14</v>
      </c>
      <c r="W43" s="183">
        <v>5</v>
      </c>
      <c r="X43" s="72">
        <v>0</v>
      </c>
      <c r="Y43" s="31">
        <v>0</v>
      </c>
      <c r="Z43" s="31">
        <v>0</v>
      </c>
      <c r="AA43" s="31">
        <v>0</v>
      </c>
      <c r="AB43" s="116">
        <v>0</v>
      </c>
      <c r="AC43" s="71"/>
      <c r="AD43" s="67"/>
      <c r="AE43" s="127"/>
    </row>
    <row r="44" spans="1:31" s="4" customFormat="1" ht="18" customHeight="1" thickBot="1">
      <c r="A44" s="27" t="s">
        <v>72</v>
      </c>
      <c r="B44" s="29">
        <f>SUM(B40:B43)</f>
        <v>68</v>
      </c>
      <c r="C44" s="37">
        <v>40</v>
      </c>
      <c r="D44" s="200">
        <v>60</v>
      </c>
      <c r="E44" s="148">
        <f>SUM(E40:E43)</f>
        <v>96</v>
      </c>
      <c r="F44" s="77">
        <f>SUM(F40:F43)</f>
        <v>146</v>
      </c>
      <c r="G44" s="77">
        <f>SUM(G40:G43)</f>
        <v>98</v>
      </c>
      <c r="H44" s="162">
        <v>55</v>
      </c>
      <c r="I44" s="101">
        <f>SUM(I40:I43)</f>
        <v>76</v>
      </c>
      <c r="J44" s="205">
        <f>SUM(J40:J43)</f>
        <v>63</v>
      </c>
      <c r="K44" s="79">
        <f>SUM(K40:K43)</f>
        <v>42</v>
      </c>
      <c r="L44" s="209">
        <v>35</v>
      </c>
      <c r="M44" s="102">
        <f>SUM(M40:M43)</f>
        <v>60</v>
      </c>
      <c r="N44" s="102">
        <f>SUM(N40:N43)</f>
        <v>46</v>
      </c>
      <c r="O44" s="208">
        <v>35</v>
      </c>
      <c r="P44" s="102">
        <f>SUM(P40:P43)</f>
        <v>74</v>
      </c>
      <c r="Q44" s="102">
        <f>SUM(Q40:Q43)</f>
        <v>70</v>
      </c>
      <c r="R44" s="102">
        <f>SUM(R40:R43)</f>
        <v>72</v>
      </c>
      <c r="S44" s="210">
        <v>35</v>
      </c>
      <c r="T44" s="101">
        <f>SUM(T40:T43)</f>
        <v>51</v>
      </c>
      <c r="U44" s="101">
        <f>SUM(U40:U43)</f>
        <v>55</v>
      </c>
      <c r="V44" s="102">
        <f>SUM(V40:V43)</f>
        <v>63</v>
      </c>
      <c r="W44" s="100">
        <v>20</v>
      </c>
      <c r="X44" s="103">
        <f>SUM(X40:X43)</f>
        <v>1</v>
      </c>
      <c r="Y44" s="35">
        <f>SUM(Y40:Y43)</f>
        <v>2</v>
      </c>
      <c r="Z44" s="101">
        <f>SUM(Z40:Z43)</f>
        <v>2</v>
      </c>
      <c r="AA44" s="101">
        <f>SUM(AA40:AA43)</f>
        <v>5</v>
      </c>
      <c r="AB44" s="135">
        <v>0</v>
      </c>
      <c r="AC44" s="151"/>
      <c r="AD44" s="74"/>
      <c r="AE44" s="128"/>
    </row>
    <row r="45" spans="1:31" s="4" customFormat="1" ht="18" customHeight="1" thickBot="1">
      <c r="A45" s="27" t="s">
        <v>73</v>
      </c>
      <c r="B45" s="29">
        <f>SUM(B19+B26+B27+B28+B29+B38+B44)</f>
        <v>1153</v>
      </c>
      <c r="C45" s="37">
        <v>800</v>
      </c>
      <c r="D45" s="161">
        <v>1485</v>
      </c>
      <c r="E45" s="148">
        <f>SUM(E19+E26+E27+E28+E29+E38+E44)</f>
        <v>1231</v>
      </c>
      <c r="F45" s="77">
        <f>SUM(F19+F26+F27+F28+F29+F38+F44)</f>
        <v>1780</v>
      </c>
      <c r="G45" s="77">
        <f>SUM(G19+G26+G27+G28+G29+G38+G44)</f>
        <v>1332</v>
      </c>
      <c r="H45" s="161">
        <v>1215</v>
      </c>
      <c r="I45" s="101">
        <f>SUM(I19+I26+I27+I28+I29+I38+I44)</f>
        <v>863</v>
      </c>
      <c r="J45" s="205">
        <f>SUM(J19+J26+J27+J28+J29+J38+J44)</f>
        <v>866</v>
      </c>
      <c r="K45" s="73">
        <f t="shared" ref="K45" si="1">SUM(K19+K26+K27+K28+K29+K38+K44)</f>
        <v>865</v>
      </c>
      <c r="L45" s="74">
        <v>805</v>
      </c>
      <c r="M45" s="73">
        <f>SUM(M19+M26+M27+M28+M29+M38+M44)</f>
        <v>831</v>
      </c>
      <c r="N45" s="105">
        <f t="shared" ref="N45" si="2">SUM(N19+N26+N27+N28+N29+N38+N44)</f>
        <v>844</v>
      </c>
      <c r="O45" s="122">
        <v>805</v>
      </c>
      <c r="P45" s="73">
        <f>SUM(P19+P26+P27+P28+P29+P38+P44)</f>
        <v>726</v>
      </c>
      <c r="Q45" s="73">
        <f>SUM(Q19+Q26+Q27+Q28+Q29+Q38+Q44)</f>
        <v>786</v>
      </c>
      <c r="R45" s="106">
        <f>SUM(R19+R26+R27+R28+R29+R38+R44)</f>
        <v>837</v>
      </c>
      <c r="S45" s="93">
        <v>665</v>
      </c>
      <c r="T45" s="73">
        <f>SUM(T19,T26,T27,T28,T29,T38,T44)</f>
        <v>510</v>
      </c>
      <c r="U45" s="73">
        <f t="shared" ref="U45:V45" si="3">SUM(U19,U26,U27,U28,U29,U38,U44)</f>
        <v>557</v>
      </c>
      <c r="V45" s="73">
        <f t="shared" si="3"/>
        <v>583</v>
      </c>
      <c r="W45" s="100">
        <v>317</v>
      </c>
      <c r="X45" s="107">
        <f>SUM(X19+X26+X27+X28+X29+X38+X44)</f>
        <v>193</v>
      </c>
      <c r="Y45" s="73">
        <f>SUM(Y19+Y26+Y27+Y28+Y29+Y38+Y44)</f>
        <v>238</v>
      </c>
      <c r="Z45" s="73">
        <f>SUM(Z19+Z26+Z27+Z28+Z29+Z38+Z44)</f>
        <v>190</v>
      </c>
      <c r="AA45" s="73">
        <f>SUM(AA19+AA26+AA27+AA28+AA29+AA38+AA44)</f>
        <v>188</v>
      </c>
      <c r="AB45" s="101">
        <v>58</v>
      </c>
      <c r="AC45" s="75">
        <f>SUM(AC19+AC26+AC27+AC28+AC29+AC38+AC44)</f>
        <v>0</v>
      </c>
      <c r="AD45" s="74">
        <f>SUM(AD19+AD26+AD27+AD28+AD29+AD38+AD44)</f>
        <v>0</v>
      </c>
      <c r="AE45" s="128">
        <f>SUM(AE19+AE26+AE28+AE27+AE29+AE38+AE44)</f>
        <v>0</v>
      </c>
    </row>
    <row r="46" spans="1:31" s="30" customFormat="1" ht="16.5" customHeight="1" thickBot="1">
      <c r="A46" s="109" t="s">
        <v>74</v>
      </c>
      <c r="B46" s="111">
        <v>400</v>
      </c>
      <c r="C46" s="39">
        <v>80</v>
      </c>
      <c r="D46" s="160">
        <v>200</v>
      </c>
      <c r="E46" s="108">
        <v>195</v>
      </c>
      <c r="F46" s="108">
        <v>411</v>
      </c>
      <c r="G46" s="108">
        <v>219</v>
      </c>
      <c r="H46" s="159">
        <v>100</v>
      </c>
      <c r="I46" s="31">
        <v>73</v>
      </c>
      <c r="J46" s="79">
        <v>171</v>
      </c>
      <c r="K46" s="108">
        <v>117</v>
      </c>
      <c r="L46" s="108">
        <v>60</v>
      </c>
      <c r="M46" s="108">
        <v>118</v>
      </c>
      <c r="N46" s="108">
        <v>89</v>
      </c>
      <c r="O46" s="108">
        <v>60</v>
      </c>
      <c r="P46" s="108">
        <v>82</v>
      </c>
      <c r="Q46" s="73">
        <v>38</v>
      </c>
      <c r="R46" s="108">
        <v>105</v>
      </c>
      <c r="S46" s="158">
        <v>50</v>
      </c>
      <c r="T46" s="108">
        <v>20</v>
      </c>
      <c r="U46" s="108">
        <v>60</v>
      </c>
      <c r="V46" s="108">
        <v>48</v>
      </c>
      <c r="W46" s="129">
        <v>20</v>
      </c>
      <c r="X46" s="108">
        <v>3</v>
      </c>
      <c r="Y46" s="108">
        <v>25</v>
      </c>
      <c r="Z46" s="108">
        <v>1</v>
      </c>
      <c r="AA46" s="108">
        <v>15</v>
      </c>
      <c r="AB46" s="133">
        <v>0</v>
      </c>
      <c r="AC46" s="108"/>
      <c r="AD46" s="76"/>
      <c r="AE46" s="108"/>
    </row>
    <row r="47" spans="1:31" s="49" customFormat="1">
      <c r="A47" s="256" t="s">
        <v>75</v>
      </c>
      <c r="B47" s="257"/>
      <c r="C47" s="257"/>
      <c r="D47" s="52"/>
      <c r="E47" s="51"/>
      <c r="F47" s="51"/>
      <c r="G47" s="51"/>
      <c r="H47" s="258"/>
      <c r="I47" s="54"/>
      <c r="J47" s="54"/>
      <c r="K47" s="54"/>
      <c r="L47" s="257"/>
      <c r="M47" s="54"/>
      <c r="N47" s="54"/>
      <c r="O47" s="51"/>
      <c r="P47" s="54"/>
      <c r="Q47" s="52"/>
      <c r="R47" s="53"/>
      <c r="S47" s="54"/>
      <c r="T47" s="52"/>
      <c r="U47" s="52"/>
      <c r="V47" s="52"/>
      <c r="W47" s="54"/>
      <c r="X47" s="52"/>
      <c r="Y47" s="52"/>
      <c r="Z47" s="258"/>
      <c r="AA47" s="258"/>
      <c r="AB47" s="53"/>
      <c r="AC47" s="258"/>
      <c r="AD47" s="258"/>
      <c r="AE47" s="257"/>
    </row>
    <row r="48" spans="1:31" s="49" customFormat="1">
      <c r="A48" s="56" t="s">
        <v>76</v>
      </c>
      <c r="B48" s="55"/>
      <c r="C48" s="257"/>
      <c r="D48" s="52"/>
      <c r="E48" s="51"/>
      <c r="F48" s="51"/>
      <c r="G48" s="51"/>
      <c r="H48" s="258"/>
      <c r="I48" s="50"/>
      <c r="J48" s="50"/>
      <c r="K48" s="54"/>
      <c r="L48" s="257"/>
      <c r="M48" s="54"/>
      <c r="N48" s="54"/>
      <c r="O48" s="51"/>
      <c r="P48" s="54"/>
      <c r="Q48" s="52"/>
      <c r="R48" s="53"/>
      <c r="S48" s="50"/>
      <c r="T48" s="52"/>
      <c r="U48" s="52"/>
      <c r="V48" s="52"/>
      <c r="W48" s="50"/>
      <c r="X48" s="52"/>
      <c r="Y48" s="52"/>
      <c r="Z48" s="258"/>
      <c r="AA48" s="258"/>
      <c r="AB48" s="53"/>
      <c r="AC48" s="258"/>
      <c r="AD48" s="258"/>
      <c r="AE48" s="257"/>
    </row>
  </sheetData>
  <mergeCells count="17">
    <mergeCell ref="E5:G5"/>
    <mergeCell ref="A1:C1"/>
    <mergeCell ref="A2:C2"/>
    <mergeCell ref="A3:C3"/>
    <mergeCell ref="A4:C4"/>
    <mergeCell ref="AC7:AD7"/>
    <mergeCell ref="P7:R7"/>
    <mergeCell ref="T7:V7"/>
    <mergeCell ref="X7:AA8"/>
    <mergeCell ref="AC8:AD8"/>
    <mergeCell ref="P8:R8"/>
    <mergeCell ref="T8:V8"/>
    <mergeCell ref="I5:J5"/>
    <mergeCell ref="P5:R5"/>
    <mergeCell ref="T5:V5"/>
    <mergeCell ref="X5:AA5"/>
    <mergeCell ref="AC5:AD5"/>
  </mergeCells>
  <conditionalFormatting sqref="E9:G19 P9:R19 T9:V19 E21:G29 P21:R29 T21:V29 E31:G38 P31:R38 T31:V38 E40:G46 P40:R46 T40:V46">
    <cfRule type="expression" dxfId="20" priority="10">
      <formula>AND($C9&lt;=E9, $B9&gt;E9)</formula>
    </cfRule>
    <cfRule type="expression" dxfId="19" priority="11">
      <formula>($B9&lt;=E9)</formula>
    </cfRule>
    <cfRule type="expression" dxfId="18" priority="12">
      <formula>$C9&gt;E9</formula>
    </cfRule>
  </conditionalFormatting>
  <conditionalFormatting sqref="I9:K19 M9:N19 AC9:AE19 I21:K29 M21:N29 AC21:AE29 I31:K38 M31:N38 AC31:AE38 I40:K46 M40:N46 AC40:AE46">
    <cfRule type="expression" dxfId="17" priority="4">
      <formula>AND($C9&lt;=I9, $B9&gt;I9)</formula>
    </cfRule>
    <cfRule type="expression" dxfId="16" priority="5">
      <formula>($B9&lt;=I9)</formula>
    </cfRule>
    <cfRule type="expression" dxfId="15" priority="6">
      <formula>$C9&gt;I9</formula>
    </cfRule>
  </conditionalFormatting>
  <conditionalFormatting sqref="X9:AA19 X21:AA29 X31:AA38 X40:AA46">
    <cfRule type="expression" dxfId="14" priority="1">
      <formula>AND($C9&lt;=X9, $B9&gt;X9)</formula>
    </cfRule>
    <cfRule type="expression" dxfId="13" priority="2">
      <formula>($B9&lt;=X9)</formula>
    </cfRule>
    <cfRule type="expression" dxfId="12" priority="3">
      <formula>$C9&gt;X9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1F8E-F5B3-4C66-9B3E-66CEDFB0FCEB}">
  <sheetPr codeName="Sheet9"/>
  <dimension ref="A1:K41"/>
  <sheetViews>
    <sheetView zoomScale="93" zoomScaleNormal="93" workbookViewId="0">
      <selection activeCell="A41" sqref="A41"/>
    </sheetView>
  </sheetViews>
  <sheetFormatPr defaultColWidth="9" defaultRowHeight="15.6"/>
  <cols>
    <col min="1" max="1" width="56.375" customWidth="1"/>
    <col min="3" max="5" width="12.875" customWidth="1"/>
    <col min="6" max="6" width="13.5" customWidth="1"/>
    <col min="8" max="8" width="4.625" customWidth="1"/>
    <col min="9" max="9" width="14.625" customWidth="1"/>
    <col min="10" max="10" width="11.125" customWidth="1"/>
  </cols>
  <sheetData>
    <row r="1" spans="1:11" ht="16.149999999999999" thickBot="1">
      <c r="B1" s="44" t="s">
        <v>10</v>
      </c>
      <c r="C1" s="45"/>
      <c r="D1" s="201"/>
      <c r="E1" s="7" t="s">
        <v>18</v>
      </c>
      <c r="F1" s="7" t="s">
        <v>18</v>
      </c>
      <c r="I1" s="7" t="s">
        <v>18</v>
      </c>
      <c r="J1" s="7" t="s">
        <v>18</v>
      </c>
    </row>
    <row r="2" spans="1:11" ht="16.899999999999999" thickTop="1" thickBot="1">
      <c r="A2" s="1" t="s">
        <v>32</v>
      </c>
      <c r="B2" s="11" t="s">
        <v>33</v>
      </c>
      <c r="C2" s="38" t="s">
        <v>34</v>
      </c>
      <c r="D2" s="203" t="s">
        <v>96</v>
      </c>
      <c r="E2" s="112">
        <v>45806</v>
      </c>
      <c r="F2" s="112">
        <v>45642</v>
      </c>
      <c r="G2" s="48" t="s">
        <v>97</v>
      </c>
      <c r="I2" s="47">
        <v>45806</v>
      </c>
      <c r="J2" s="47">
        <v>45476</v>
      </c>
      <c r="K2" s="48" t="s">
        <v>97</v>
      </c>
    </row>
    <row r="3" spans="1:11" ht="16.149999999999999" thickBot="1">
      <c r="A3" s="21" t="s">
        <v>36</v>
      </c>
      <c r="B3" s="12"/>
      <c r="C3" s="2"/>
      <c r="D3" s="202"/>
      <c r="E3" s="113"/>
      <c r="F3" s="113"/>
      <c r="I3" s="16"/>
      <c r="J3" s="16"/>
    </row>
    <row r="4" spans="1:11" ht="12.6" customHeight="1">
      <c r="A4" s="24" t="s">
        <v>37</v>
      </c>
      <c r="B4" s="3">
        <v>130</v>
      </c>
      <c r="C4" s="15">
        <v>60</v>
      </c>
      <c r="D4" s="115">
        <v>100</v>
      </c>
      <c r="E4" s="58">
        <v>131</v>
      </c>
      <c r="F4" s="58">
        <v>71</v>
      </c>
      <c r="G4">
        <f>SUM(E4-F4)</f>
        <v>60</v>
      </c>
      <c r="I4" s="58">
        <v>131</v>
      </c>
      <c r="J4" s="58">
        <v>100</v>
      </c>
      <c r="K4">
        <f>SUM(I4-J4)</f>
        <v>31</v>
      </c>
    </row>
    <row r="5" spans="1:11" ht="16.350000000000001" customHeight="1">
      <c r="A5" s="24" t="s">
        <v>38</v>
      </c>
      <c r="B5" s="3">
        <v>27</v>
      </c>
      <c r="C5" s="15">
        <v>20</v>
      </c>
      <c r="D5" s="114">
        <v>20</v>
      </c>
      <c r="E5" s="58">
        <v>46</v>
      </c>
      <c r="F5" s="58">
        <v>42</v>
      </c>
      <c r="G5">
        <f t="shared" ref="G5:G41" si="0">SUM(E5-F5)</f>
        <v>4</v>
      </c>
      <c r="I5" s="58">
        <v>46</v>
      </c>
      <c r="J5" s="58">
        <v>43</v>
      </c>
      <c r="K5">
        <f t="shared" ref="K5:K41" si="1">SUM(I5-J5)</f>
        <v>3</v>
      </c>
    </row>
    <row r="6" spans="1:11" ht="14.1" customHeight="1">
      <c r="A6" s="24" t="s">
        <v>39</v>
      </c>
      <c r="B6" s="3">
        <v>107</v>
      </c>
      <c r="C6" s="15">
        <v>60</v>
      </c>
      <c r="D6" s="190">
        <v>75</v>
      </c>
      <c r="E6" s="58">
        <v>53</v>
      </c>
      <c r="F6" s="58">
        <v>50</v>
      </c>
      <c r="G6">
        <f t="shared" si="0"/>
        <v>3</v>
      </c>
      <c r="I6" s="58">
        <v>53</v>
      </c>
      <c r="J6" s="58">
        <v>25</v>
      </c>
      <c r="K6">
        <f t="shared" si="1"/>
        <v>28</v>
      </c>
    </row>
    <row r="7" spans="1:11" ht="14.45" customHeight="1">
      <c r="A7" s="25" t="s">
        <v>40</v>
      </c>
      <c r="B7" s="3">
        <v>34</v>
      </c>
      <c r="C7" s="15">
        <v>10</v>
      </c>
      <c r="D7" s="66">
        <v>15</v>
      </c>
      <c r="E7" s="58">
        <v>13</v>
      </c>
      <c r="F7" s="58">
        <v>9</v>
      </c>
      <c r="G7">
        <f t="shared" si="0"/>
        <v>4</v>
      </c>
      <c r="I7" s="58">
        <v>13</v>
      </c>
      <c r="J7" s="58">
        <v>10</v>
      </c>
      <c r="K7">
        <f t="shared" si="1"/>
        <v>3</v>
      </c>
    </row>
    <row r="8" spans="1:11" ht="14.1" customHeight="1" thickBot="1">
      <c r="A8" s="26" t="s">
        <v>41</v>
      </c>
      <c r="B8" s="3">
        <v>31</v>
      </c>
      <c r="C8" s="15">
        <v>10</v>
      </c>
      <c r="D8" s="60">
        <v>20</v>
      </c>
      <c r="E8" s="58">
        <v>12</v>
      </c>
      <c r="F8" s="58">
        <v>16</v>
      </c>
      <c r="G8">
        <f t="shared" si="0"/>
        <v>-4</v>
      </c>
      <c r="I8" s="58">
        <v>12</v>
      </c>
      <c r="J8" s="58">
        <v>9</v>
      </c>
      <c r="K8">
        <f t="shared" si="1"/>
        <v>3</v>
      </c>
    </row>
    <row r="9" spans="1:11" ht="14.45" customHeight="1" thickBot="1">
      <c r="A9" s="27" t="s">
        <v>42</v>
      </c>
      <c r="B9" s="29">
        <v>65</v>
      </c>
      <c r="C9" s="37">
        <v>60</v>
      </c>
      <c r="D9" s="120">
        <v>35</v>
      </c>
      <c r="E9" s="245">
        <f>SUM(E7:E8)</f>
        <v>25</v>
      </c>
      <c r="F9" s="245">
        <f>SUM(F7:F8)</f>
        <v>25</v>
      </c>
      <c r="G9">
        <f t="shared" si="0"/>
        <v>0</v>
      </c>
      <c r="I9" s="245">
        <f>SUM(I7:I8)</f>
        <v>25</v>
      </c>
      <c r="J9" s="245">
        <f>SUM(J7:J8)</f>
        <v>19</v>
      </c>
      <c r="K9">
        <f t="shared" si="1"/>
        <v>6</v>
      </c>
    </row>
    <row r="10" spans="1:11" ht="14.45" customHeight="1">
      <c r="A10" s="24" t="s">
        <v>43</v>
      </c>
      <c r="B10" s="3">
        <v>62</v>
      </c>
      <c r="C10" s="15">
        <v>20</v>
      </c>
      <c r="D10" s="143">
        <v>50</v>
      </c>
      <c r="E10" s="58">
        <v>69</v>
      </c>
      <c r="F10" s="58">
        <v>49</v>
      </c>
      <c r="G10">
        <f t="shared" si="0"/>
        <v>20</v>
      </c>
      <c r="I10" s="58">
        <v>69</v>
      </c>
      <c r="J10" s="58">
        <v>54</v>
      </c>
      <c r="K10">
        <f t="shared" si="1"/>
        <v>15</v>
      </c>
    </row>
    <row r="11" spans="1:11" ht="14.45" customHeight="1">
      <c r="A11" s="24" t="s">
        <v>44</v>
      </c>
      <c r="B11" s="3">
        <v>22</v>
      </c>
      <c r="C11" s="15">
        <v>10</v>
      </c>
      <c r="D11" s="144">
        <v>10</v>
      </c>
      <c r="E11" s="58">
        <v>17</v>
      </c>
      <c r="F11" s="58">
        <v>13</v>
      </c>
      <c r="G11">
        <f t="shared" si="0"/>
        <v>4</v>
      </c>
      <c r="I11" s="58">
        <v>17</v>
      </c>
      <c r="J11" s="58">
        <v>13</v>
      </c>
      <c r="K11">
        <f t="shared" si="1"/>
        <v>4</v>
      </c>
    </row>
    <row r="12" spans="1:11" ht="15" customHeight="1">
      <c r="A12" s="24" t="s">
        <v>45</v>
      </c>
      <c r="B12" s="3">
        <v>14</v>
      </c>
      <c r="C12" s="15">
        <v>10</v>
      </c>
      <c r="D12" s="66">
        <v>15</v>
      </c>
      <c r="E12" s="58">
        <v>20</v>
      </c>
      <c r="F12" s="79">
        <v>18</v>
      </c>
      <c r="G12">
        <f t="shared" si="0"/>
        <v>2</v>
      </c>
      <c r="I12" s="58">
        <v>20</v>
      </c>
      <c r="J12" s="58">
        <v>12</v>
      </c>
      <c r="K12">
        <f t="shared" si="1"/>
        <v>8</v>
      </c>
    </row>
    <row r="13" spans="1:11" ht="14.45" customHeight="1" thickBot="1">
      <c r="A13" s="24" t="s">
        <v>46</v>
      </c>
      <c r="B13" s="3">
        <v>19</v>
      </c>
      <c r="C13" s="15">
        <v>10</v>
      </c>
      <c r="D13" s="65">
        <v>10</v>
      </c>
      <c r="E13" s="58">
        <v>13</v>
      </c>
      <c r="F13" s="58">
        <v>20</v>
      </c>
      <c r="G13">
        <f t="shared" si="0"/>
        <v>-7</v>
      </c>
      <c r="I13" s="58">
        <v>13</v>
      </c>
      <c r="J13" s="58">
        <v>9</v>
      </c>
      <c r="K13">
        <f t="shared" si="1"/>
        <v>4</v>
      </c>
    </row>
    <row r="14" spans="1:11" ht="15.6" customHeight="1" thickBot="1">
      <c r="A14" s="27" t="s">
        <v>47</v>
      </c>
      <c r="B14" s="29">
        <f>SUM(B4+B5+B6+B7+B8+B10+B11+B12+B13)</f>
        <v>446</v>
      </c>
      <c r="C14" s="37">
        <v>300</v>
      </c>
      <c r="D14" s="191">
        <v>315</v>
      </c>
      <c r="E14" s="248">
        <f>SUM(E10:E13,E8,E7,E6,E5,E4)</f>
        <v>374</v>
      </c>
      <c r="F14" s="248">
        <f>SUM(F10:F13,F8,F7,F6,F5,F4)</f>
        <v>288</v>
      </c>
      <c r="G14">
        <f t="shared" si="0"/>
        <v>86</v>
      </c>
      <c r="I14" s="248">
        <f>SUM(I10:I13,I8,I7,I6,I5,I4)</f>
        <v>374</v>
      </c>
      <c r="J14" s="248">
        <f>SUM(J10:J13,J8,J7,J6,J5,J4)</f>
        <v>275</v>
      </c>
      <c r="K14">
        <f t="shared" si="1"/>
        <v>99</v>
      </c>
    </row>
    <row r="15" spans="1:11">
      <c r="A15" s="28" t="s">
        <v>48</v>
      </c>
      <c r="B15" s="31"/>
      <c r="C15" s="31"/>
      <c r="D15" s="115"/>
      <c r="E15" s="33"/>
      <c r="F15" s="36"/>
      <c r="G15">
        <f t="shared" si="0"/>
        <v>0</v>
      </c>
      <c r="I15" s="33"/>
      <c r="J15" s="33"/>
      <c r="K15">
        <f t="shared" si="1"/>
        <v>0</v>
      </c>
    </row>
    <row r="16" spans="1:11" ht="13.35" customHeight="1">
      <c r="A16" s="24" t="s">
        <v>49</v>
      </c>
      <c r="B16" s="3">
        <v>64</v>
      </c>
      <c r="C16" s="15">
        <v>30</v>
      </c>
      <c r="D16" s="141">
        <v>20</v>
      </c>
      <c r="E16" s="79">
        <v>14</v>
      </c>
      <c r="F16" s="67">
        <v>16</v>
      </c>
      <c r="G16">
        <f t="shared" si="0"/>
        <v>-2</v>
      </c>
      <c r="I16" s="79">
        <v>14</v>
      </c>
      <c r="J16" s="79">
        <v>13</v>
      </c>
      <c r="K16">
        <f t="shared" si="1"/>
        <v>1</v>
      </c>
    </row>
    <row r="17" spans="1:11" ht="14.1" customHeight="1">
      <c r="A17" s="24" t="s">
        <v>50</v>
      </c>
      <c r="B17" s="3">
        <v>69</v>
      </c>
      <c r="C17" s="15">
        <v>30</v>
      </c>
      <c r="D17" s="141">
        <v>40</v>
      </c>
      <c r="E17" s="57">
        <v>31</v>
      </c>
      <c r="F17" s="85">
        <v>14</v>
      </c>
      <c r="G17">
        <f t="shared" si="0"/>
        <v>17</v>
      </c>
      <c r="I17" s="57">
        <v>31</v>
      </c>
      <c r="J17" s="57">
        <v>26</v>
      </c>
      <c r="K17">
        <f t="shared" si="1"/>
        <v>5</v>
      </c>
    </row>
    <row r="18" spans="1:11" ht="17.100000000000001" customHeight="1">
      <c r="A18" s="24" t="s">
        <v>51</v>
      </c>
      <c r="B18" s="3">
        <v>145</v>
      </c>
      <c r="C18" s="15">
        <v>30</v>
      </c>
      <c r="D18" s="141">
        <v>60</v>
      </c>
      <c r="E18" s="57">
        <v>39</v>
      </c>
      <c r="F18" s="85">
        <v>46</v>
      </c>
      <c r="G18">
        <f t="shared" si="0"/>
        <v>-7</v>
      </c>
      <c r="I18" s="57">
        <v>39</v>
      </c>
      <c r="J18" s="57">
        <v>28</v>
      </c>
      <c r="K18">
        <f t="shared" si="1"/>
        <v>11</v>
      </c>
    </row>
    <row r="19" spans="1:11" ht="13.35" customHeight="1">
      <c r="A19" s="24" t="s">
        <v>52</v>
      </c>
      <c r="B19" s="3">
        <v>100</v>
      </c>
      <c r="C19" s="15">
        <v>30</v>
      </c>
      <c r="D19" s="141">
        <v>60</v>
      </c>
      <c r="E19" s="57">
        <v>49</v>
      </c>
      <c r="F19" s="85">
        <v>33</v>
      </c>
      <c r="G19">
        <f t="shared" si="0"/>
        <v>16</v>
      </c>
      <c r="I19" s="57">
        <v>49</v>
      </c>
      <c r="J19" s="57">
        <v>41</v>
      </c>
      <c r="K19">
        <f t="shared" si="1"/>
        <v>8</v>
      </c>
    </row>
    <row r="20" spans="1:11" ht="14.45" customHeight="1" thickBot="1">
      <c r="A20" s="259" t="s">
        <v>53</v>
      </c>
      <c r="B20" s="3">
        <v>24</v>
      </c>
      <c r="C20" s="15">
        <v>10</v>
      </c>
      <c r="D20" s="192">
        <v>10</v>
      </c>
      <c r="E20" s="31">
        <v>1</v>
      </c>
      <c r="F20" s="67">
        <v>12</v>
      </c>
      <c r="G20">
        <f t="shared" si="0"/>
        <v>-11</v>
      </c>
      <c r="I20" s="31">
        <v>1</v>
      </c>
      <c r="J20" s="31">
        <v>1</v>
      </c>
      <c r="K20">
        <f t="shared" si="1"/>
        <v>0</v>
      </c>
    </row>
    <row r="21" spans="1:11" ht="14.45" customHeight="1" thickBot="1">
      <c r="A21" s="27" t="s">
        <v>54</v>
      </c>
      <c r="B21" s="29">
        <f>SUM(B16:B20)</f>
        <v>402</v>
      </c>
      <c r="C21" s="37">
        <v>300</v>
      </c>
      <c r="D21" s="153">
        <v>190</v>
      </c>
      <c r="E21" s="90">
        <f>SUM(E16:E20)</f>
        <v>134</v>
      </c>
      <c r="F21" s="91">
        <f>SUM(F16:F20)</f>
        <v>121</v>
      </c>
      <c r="G21">
        <f t="shared" si="0"/>
        <v>13</v>
      </c>
      <c r="I21" s="90">
        <f>SUM(I16:I20)</f>
        <v>134</v>
      </c>
      <c r="J21" s="90">
        <f>SUM(J16:J20)</f>
        <v>109</v>
      </c>
      <c r="K21">
        <f t="shared" si="1"/>
        <v>25</v>
      </c>
    </row>
    <row r="22" spans="1:11" ht="16.149999999999999" thickBot="1">
      <c r="A22" s="249" t="s">
        <v>55</v>
      </c>
      <c r="B22" s="29">
        <v>18</v>
      </c>
      <c r="C22" s="37">
        <v>10</v>
      </c>
      <c r="D22" s="65">
        <v>10</v>
      </c>
      <c r="E22" s="33">
        <v>15</v>
      </c>
      <c r="F22" s="32">
        <v>16</v>
      </c>
      <c r="G22">
        <f t="shared" si="0"/>
        <v>-1</v>
      </c>
      <c r="I22" s="33">
        <v>15</v>
      </c>
      <c r="J22" s="33">
        <v>10</v>
      </c>
      <c r="K22">
        <f t="shared" si="1"/>
        <v>5</v>
      </c>
    </row>
    <row r="23" spans="1:11" ht="14.45" customHeight="1" thickBot="1">
      <c r="A23" s="250" t="s">
        <v>56</v>
      </c>
      <c r="B23" s="29">
        <v>11</v>
      </c>
      <c r="C23" s="37">
        <v>10</v>
      </c>
      <c r="D23" s="65">
        <v>15</v>
      </c>
      <c r="E23" s="31">
        <v>0</v>
      </c>
      <c r="F23" s="57">
        <v>7</v>
      </c>
      <c r="G23">
        <f t="shared" si="0"/>
        <v>-7</v>
      </c>
      <c r="I23" s="31">
        <v>0</v>
      </c>
      <c r="J23" s="31">
        <v>0</v>
      </c>
      <c r="K23">
        <f t="shared" si="1"/>
        <v>0</v>
      </c>
    </row>
    <row r="24" spans="1:11" ht="15.6" customHeight="1" thickBot="1">
      <c r="A24" s="249" t="s">
        <v>57</v>
      </c>
      <c r="B24" s="29">
        <v>48</v>
      </c>
      <c r="C24" s="37">
        <v>20</v>
      </c>
      <c r="D24" s="31">
        <v>50</v>
      </c>
      <c r="E24" s="31">
        <v>65</v>
      </c>
      <c r="F24" s="57">
        <v>59</v>
      </c>
      <c r="G24">
        <f t="shared" si="0"/>
        <v>6</v>
      </c>
      <c r="I24" s="31">
        <v>65</v>
      </c>
      <c r="J24" s="31">
        <v>57</v>
      </c>
      <c r="K24">
        <f t="shared" si="1"/>
        <v>8</v>
      </c>
    </row>
    <row r="25" spans="1:11" ht="14.1" customHeight="1" thickBot="1">
      <c r="A25" s="251" t="s">
        <v>58</v>
      </c>
      <c r="B25" s="31"/>
      <c r="C25" s="31"/>
      <c r="D25" s="116"/>
      <c r="E25" s="31"/>
      <c r="F25" s="79"/>
      <c r="G25">
        <f t="shared" si="0"/>
        <v>0</v>
      </c>
      <c r="I25" s="31"/>
      <c r="J25" s="31"/>
      <c r="K25">
        <f t="shared" si="1"/>
        <v>0</v>
      </c>
    </row>
    <row r="26" spans="1:11" ht="13.35" customHeight="1">
      <c r="A26" s="24" t="s">
        <v>59</v>
      </c>
      <c r="B26" s="3">
        <v>11</v>
      </c>
      <c r="C26" s="15">
        <v>10</v>
      </c>
      <c r="D26" s="67">
        <v>10</v>
      </c>
      <c r="E26" s="31">
        <v>5</v>
      </c>
      <c r="F26" s="79">
        <v>5</v>
      </c>
      <c r="G26">
        <f t="shared" si="0"/>
        <v>0</v>
      </c>
      <c r="I26" s="31">
        <v>5</v>
      </c>
      <c r="J26" s="31">
        <v>4</v>
      </c>
      <c r="K26">
        <f t="shared" si="1"/>
        <v>1</v>
      </c>
    </row>
    <row r="27" spans="1:11">
      <c r="A27" s="23" t="s">
        <v>60</v>
      </c>
      <c r="B27" s="3">
        <v>34</v>
      </c>
      <c r="C27" s="15">
        <v>20</v>
      </c>
      <c r="D27" s="69">
        <v>30</v>
      </c>
      <c r="E27" s="31">
        <v>12</v>
      </c>
      <c r="F27" s="31">
        <v>13</v>
      </c>
      <c r="G27">
        <f t="shared" si="0"/>
        <v>-1</v>
      </c>
      <c r="I27" s="31">
        <v>12</v>
      </c>
      <c r="J27" s="31">
        <v>9</v>
      </c>
      <c r="K27">
        <f t="shared" si="1"/>
        <v>3</v>
      </c>
    </row>
    <row r="28" spans="1:11" ht="14.45" customHeight="1">
      <c r="A28" s="25" t="s">
        <v>61</v>
      </c>
      <c r="B28" s="3">
        <v>13</v>
      </c>
      <c r="C28" s="15">
        <v>10</v>
      </c>
      <c r="D28" s="67">
        <v>20</v>
      </c>
      <c r="E28" s="31">
        <v>22</v>
      </c>
      <c r="F28" s="79">
        <v>40</v>
      </c>
      <c r="G28">
        <f t="shared" si="0"/>
        <v>-18</v>
      </c>
      <c r="I28" s="31">
        <v>22</v>
      </c>
      <c r="J28" s="31">
        <v>20</v>
      </c>
      <c r="K28">
        <f t="shared" si="1"/>
        <v>2</v>
      </c>
    </row>
    <row r="29" spans="1:11" ht="15" customHeight="1">
      <c r="A29" s="24" t="s">
        <v>62</v>
      </c>
      <c r="B29" s="3">
        <v>11</v>
      </c>
      <c r="C29" s="15">
        <v>10</v>
      </c>
      <c r="D29" s="67">
        <v>15</v>
      </c>
      <c r="E29" s="31">
        <v>14</v>
      </c>
      <c r="F29" s="79">
        <v>18</v>
      </c>
      <c r="G29">
        <f t="shared" si="0"/>
        <v>-4</v>
      </c>
      <c r="I29" s="31">
        <v>14</v>
      </c>
      <c r="J29" s="31">
        <v>14</v>
      </c>
      <c r="K29">
        <f t="shared" si="1"/>
        <v>0</v>
      </c>
    </row>
    <row r="30" spans="1:11" ht="14.1" customHeight="1">
      <c r="A30" s="24" t="s">
        <v>63</v>
      </c>
      <c r="B30" s="3">
        <v>55</v>
      </c>
      <c r="C30" s="15">
        <v>30</v>
      </c>
      <c r="D30" s="67">
        <v>80</v>
      </c>
      <c r="E30" s="31">
        <v>66</v>
      </c>
      <c r="F30" s="79">
        <v>78</v>
      </c>
      <c r="G30">
        <f t="shared" si="0"/>
        <v>-12</v>
      </c>
      <c r="I30" s="31">
        <v>66</v>
      </c>
      <c r="J30" s="31">
        <v>50</v>
      </c>
      <c r="K30">
        <f t="shared" si="1"/>
        <v>16</v>
      </c>
    </row>
    <row r="31" spans="1:11" ht="14.1" customHeight="1">
      <c r="A31" s="25" t="s">
        <v>64</v>
      </c>
      <c r="B31" s="3">
        <v>23</v>
      </c>
      <c r="C31" s="15">
        <v>10</v>
      </c>
      <c r="D31" s="65">
        <v>25</v>
      </c>
      <c r="E31" s="72">
        <v>31</v>
      </c>
      <c r="F31" s="59">
        <v>41</v>
      </c>
      <c r="G31">
        <f t="shared" si="0"/>
        <v>-10</v>
      </c>
      <c r="I31" s="72">
        <v>31</v>
      </c>
      <c r="J31" s="72">
        <v>28</v>
      </c>
      <c r="K31">
        <f t="shared" si="1"/>
        <v>3</v>
      </c>
    </row>
    <row r="32" spans="1:11" ht="14.45" customHeight="1" thickBot="1">
      <c r="A32" s="25" t="s">
        <v>65</v>
      </c>
      <c r="B32" s="3">
        <v>13</v>
      </c>
      <c r="C32" s="15">
        <v>10</v>
      </c>
      <c r="D32" s="193">
        <v>10</v>
      </c>
      <c r="E32" s="31">
        <v>17</v>
      </c>
      <c r="F32" s="31">
        <v>21</v>
      </c>
      <c r="G32">
        <f t="shared" si="0"/>
        <v>-4</v>
      </c>
      <c r="I32" s="31">
        <v>17</v>
      </c>
      <c r="J32" s="31">
        <v>16</v>
      </c>
      <c r="K32">
        <f t="shared" si="1"/>
        <v>1</v>
      </c>
    </row>
    <row r="33" spans="1:11" ht="13.35" customHeight="1" thickBot="1">
      <c r="A33" s="252" t="s">
        <v>66</v>
      </c>
      <c r="B33" s="34">
        <f>SUM(B26:B32)</f>
        <v>160</v>
      </c>
      <c r="C33" s="253">
        <v>100</v>
      </c>
      <c r="D33" s="35">
        <v>190</v>
      </c>
      <c r="E33" s="101">
        <f>SUM(E26:E32)</f>
        <v>167</v>
      </c>
      <c r="F33" s="101">
        <f>SUM(F26:F32)</f>
        <v>216</v>
      </c>
      <c r="G33">
        <f t="shared" si="0"/>
        <v>-49</v>
      </c>
      <c r="I33" s="101">
        <f>SUM(I26:I32)</f>
        <v>167</v>
      </c>
      <c r="J33" s="101">
        <f>SUM(J26:J32)</f>
        <v>141</v>
      </c>
      <c r="K33">
        <f t="shared" si="1"/>
        <v>26</v>
      </c>
    </row>
    <row r="34" spans="1:11">
      <c r="A34" s="255" t="s">
        <v>67</v>
      </c>
      <c r="B34" s="31"/>
      <c r="C34" s="31" t="s">
        <v>98</v>
      </c>
      <c r="D34" s="116"/>
      <c r="E34" s="33"/>
      <c r="F34" s="83"/>
      <c r="G34">
        <f t="shared" si="0"/>
        <v>0</v>
      </c>
      <c r="I34" s="33"/>
      <c r="J34" s="33"/>
      <c r="K34">
        <f t="shared" si="1"/>
        <v>0</v>
      </c>
    </row>
    <row r="35" spans="1:11" ht="14.1" customHeight="1">
      <c r="A35" s="24" t="s">
        <v>68</v>
      </c>
      <c r="B35" s="3">
        <v>11</v>
      </c>
      <c r="C35" s="15">
        <v>5</v>
      </c>
      <c r="D35" s="116">
        <v>10</v>
      </c>
      <c r="E35" s="79">
        <v>9</v>
      </c>
      <c r="F35" s="79">
        <v>5</v>
      </c>
      <c r="G35">
        <f t="shared" si="0"/>
        <v>4</v>
      </c>
      <c r="I35" s="79">
        <v>9</v>
      </c>
      <c r="J35" s="79">
        <v>9</v>
      </c>
      <c r="K35">
        <f t="shared" si="1"/>
        <v>0</v>
      </c>
    </row>
    <row r="36" spans="1:11" ht="13.35" customHeight="1">
      <c r="A36" s="24" t="s">
        <v>69</v>
      </c>
      <c r="B36" s="3">
        <v>18</v>
      </c>
      <c r="C36" s="15">
        <v>10</v>
      </c>
      <c r="D36" s="116">
        <v>10</v>
      </c>
      <c r="E36" s="31">
        <v>16</v>
      </c>
      <c r="F36" s="79">
        <v>14</v>
      </c>
      <c r="G36">
        <f t="shared" si="0"/>
        <v>2</v>
      </c>
      <c r="I36" s="31">
        <v>16</v>
      </c>
      <c r="J36" s="31">
        <v>14</v>
      </c>
      <c r="K36">
        <f t="shared" si="1"/>
        <v>2</v>
      </c>
    </row>
    <row r="37" spans="1:11" ht="15.6" customHeight="1">
      <c r="A37" s="24" t="s">
        <v>70</v>
      </c>
      <c r="B37" s="3">
        <v>26</v>
      </c>
      <c r="C37" s="15">
        <v>10</v>
      </c>
      <c r="D37" s="116">
        <v>10</v>
      </c>
      <c r="E37" s="79">
        <v>21</v>
      </c>
      <c r="F37" s="79">
        <v>10</v>
      </c>
      <c r="G37">
        <f t="shared" si="0"/>
        <v>11</v>
      </c>
      <c r="I37" s="79">
        <v>21</v>
      </c>
      <c r="J37" s="79">
        <v>16</v>
      </c>
      <c r="K37">
        <f t="shared" si="1"/>
        <v>5</v>
      </c>
    </row>
    <row r="38" spans="1:11" ht="17.100000000000001" customHeight="1" thickBot="1">
      <c r="A38" s="25" t="s">
        <v>71</v>
      </c>
      <c r="B38" s="3">
        <v>13</v>
      </c>
      <c r="C38" s="15">
        <v>5</v>
      </c>
      <c r="D38" s="64">
        <v>5</v>
      </c>
      <c r="E38" s="79">
        <v>14</v>
      </c>
      <c r="F38" s="79">
        <v>10</v>
      </c>
      <c r="G38">
        <f t="shared" si="0"/>
        <v>4</v>
      </c>
      <c r="I38" s="79">
        <v>14</v>
      </c>
      <c r="J38" s="79">
        <v>13</v>
      </c>
      <c r="K38">
        <f t="shared" si="1"/>
        <v>1</v>
      </c>
    </row>
    <row r="39" spans="1:11" ht="15" customHeight="1" thickBot="1">
      <c r="A39" s="27" t="s">
        <v>72</v>
      </c>
      <c r="B39" s="29">
        <f>SUM(B35:B38)</f>
        <v>68</v>
      </c>
      <c r="C39" s="37">
        <v>40</v>
      </c>
      <c r="D39" s="208">
        <v>35</v>
      </c>
      <c r="E39" s="102">
        <f>SUM(E35:E38)</f>
        <v>60</v>
      </c>
      <c r="F39" s="102">
        <f>SUM(F35:F38)</f>
        <v>39</v>
      </c>
      <c r="G39">
        <f t="shared" si="0"/>
        <v>21</v>
      </c>
      <c r="I39" s="102">
        <f>SUM(I35:I38)</f>
        <v>60</v>
      </c>
      <c r="J39" s="102">
        <f>SUM(J35:J38)</f>
        <v>52</v>
      </c>
      <c r="K39">
        <f t="shared" si="1"/>
        <v>8</v>
      </c>
    </row>
    <row r="40" spans="1:11" ht="16.149999999999999" thickBot="1">
      <c r="A40" s="27" t="s">
        <v>73</v>
      </c>
      <c r="B40" s="29">
        <f>SUM(B14+B21+B22+B23+B24+B33+B39)</f>
        <v>1153</v>
      </c>
      <c r="C40" s="37">
        <v>800</v>
      </c>
      <c r="D40" s="122">
        <v>805</v>
      </c>
      <c r="E40" s="73">
        <f>SUM(E14+E21+E22+E23+E24+E33+E39)</f>
        <v>815</v>
      </c>
      <c r="F40" s="105">
        <f t="shared" ref="F40" si="2">SUM(F14+F21+F22+F23+F24+F33+F39)</f>
        <v>746</v>
      </c>
      <c r="G40">
        <f t="shared" si="0"/>
        <v>69</v>
      </c>
      <c r="I40" s="73">
        <f>SUM(I14+I21+I22+I23+I24+I33+I39)</f>
        <v>815</v>
      </c>
      <c r="J40" s="73">
        <f>SUM(J14+J21+J22+J23+J24+J33+J39)</f>
        <v>644</v>
      </c>
      <c r="K40">
        <f t="shared" si="1"/>
        <v>171</v>
      </c>
    </row>
    <row r="41" spans="1:11" ht="16.149999999999999" thickBot="1">
      <c r="A41" s="46" t="s">
        <v>74</v>
      </c>
      <c r="B41" s="111">
        <v>400</v>
      </c>
      <c r="C41" s="39">
        <v>80</v>
      </c>
      <c r="D41" s="108">
        <v>60</v>
      </c>
      <c r="E41" s="108">
        <v>117</v>
      </c>
      <c r="F41" s="108">
        <v>66</v>
      </c>
      <c r="G41">
        <f t="shared" si="0"/>
        <v>51</v>
      </c>
      <c r="I41" s="108">
        <v>117</v>
      </c>
      <c r="J41" s="108">
        <v>91</v>
      </c>
      <c r="K41">
        <f t="shared" si="1"/>
        <v>26</v>
      </c>
    </row>
  </sheetData>
  <conditionalFormatting sqref="E4:F14 E16:F24 E26:F33 E35:F41">
    <cfRule type="expression" dxfId="11" priority="4">
      <formula>AND($C4&lt;=E4, $B4&gt;E4)</formula>
    </cfRule>
    <cfRule type="expression" dxfId="10" priority="5">
      <formula>($B4&lt;=E4)</formula>
    </cfRule>
    <cfRule type="expression" dxfId="9" priority="6">
      <formula>$C4&gt;E4</formula>
    </cfRule>
  </conditionalFormatting>
  <conditionalFormatting sqref="I4:J14 I16:J24 I26:J33 I35:J41">
    <cfRule type="expression" dxfId="8" priority="1">
      <formula>AND($C4&lt;=I4, $B4&gt;I4)</formula>
    </cfRule>
    <cfRule type="expression" dxfId="7" priority="2">
      <formula>($B4&lt;=I4)</formula>
    </cfRule>
    <cfRule type="expression" dxfId="6" priority="3">
      <formula>$C4&gt;I4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2D61-9453-430C-B6C3-65A2A232E599}">
  <sheetPr codeName="Sheet10"/>
  <dimension ref="A1:K41"/>
  <sheetViews>
    <sheetView zoomScale="87" zoomScaleNormal="87" workbookViewId="0">
      <selection activeCell="P15" sqref="P15"/>
    </sheetView>
  </sheetViews>
  <sheetFormatPr defaultColWidth="9" defaultRowHeight="15.6"/>
  <cols>
    <col min="1" max="1" width="60.375" customWidth="1"/>
    <col min="3" max="5" width="12.875" customWidth="1"/>
    <col min="6" max="6" width="13.5" customWidth="1"/>
    <col min="8" max="8" width="4.375" customWidth="1"/>
    <col min="9" max="9" width="14.625" customWidth="1"/>
    <col min="10" max="10" width="14.125" customWidth="1"/>
  </cols>
  <sheetData>
    <row r="1" spans="1:11" ht="16.149999999999999" thickBot="1">
      <c r="B1" s="44" t="s">
        <v>10</v>
      </c>
      <c r="C1" s="45"/>
      <c r="D1" s="201"/>
      <c r="E1" s="7" t="s">
        <v>19</v>
      </c>
      <c r="F1" s="7" t="s">
        <v>19</v>
      </c>
      <c r="I1" s="7" t="s">
        <v>19</v>
      </c>
      <c r="J1" s="7" t="s">
        <v>19</v>
      </c>
    </row>
    <row r="2" spans="1:11" ht="16.899999999999999" thickTop="1" thickBot="1">
      <c r="A2" s="1" t="s">
        <v>32</v>
      </c>
      <c r="B2" s="11" t="s">
        <v>33</v>
      </c>
      <c r="C2" s="38" t="s">
        <v>34</v>
      </c>
      <c r="D2" s="203" t="s">
        <v>96</v>
      </c>
      <c r="E2" s="112">
        <v>45806</v>
      </c>
      <c r="F2" s="112">
        <v>45642</v>
      </c>
      <c r="G2" s="48" t="s">
        <v>97</v>
      </c>
      <c r="I2" s="47">
        <v>45806</v>
      </c>
      <c r="J2" s="47">
        <v>45476</v>
      </c>
      <c r="K2" t="s">
        <v>97</v>
      </c>
    </row>
    <row r="3" spans="1:11" ht="16.149999999999999" thickBot="1">
      <c r="A3" s="21" t="s">
        <v>36</v>
      </c>
      <c r="B3" s="12"/>
      <c r="C3" s="2"/>
      <c r="D3" s="202"/>
      <c r="E3" s="113"/>
      <c r="F3" s="113"/>
      <c r="I3" s="16"/>
      <c r="J3" s="16"/>
    </row>
    <row r="4" spans="1:11" ht="12.6" customHeight="1">
      <c r="A4" s="24" t="s">
        <v>37</v>
      </c>
      <c r="B4" s="3">
        <v>130</v>
      </c>
      <c r="C4" s="15">
        <v>60</v>
      </c>
      <c r="D4" s="115">
        <v>100</v>
      </c>
      <c r="E4" s="58">
        <v>83</v>
      </c>
      <c r="F4" s="58">
        <v>71</v>
      </c>
      <c r="G4">
        <f>SUM(E4-F4)</f>
        <v>12</v>
      </c>
      <c r="I4" s="58">
        <v>83</v>
      </c>
      <c r="J4" s="58">
        <v>64</v>
      </c>
      <c r="K4">
        <f>SUM(I4-J4)</f>
        <v>19</v>
      </c>
    </row>
    <row r="5" spans="1:11" ht="16.350000000000001" customHeight="1">
      <c r="A5" s="24" t="s">
        <v>38</v>
      </c>
      <c r="B5" s="3">
        <v>27</v>
      </c>
      <c r="C5" s="15">
        <v>20</v>
      </c>
      <c r="D5" s="114">
        <v>20</v>
      </c>
      <c r="E5" s="58">
        <v>46</v>
      </c>
      <c r="F5" s="58">
        <v>42</v>
      </c>
      <c r="G5">
        <f t="shared" ref="G5:G41" si="0">SUM(E5-F5)</f>
        <v>4</v>
      </c>
      <c r="I5" s="58">
        <v>46</v>
      </c>
      <c r="J5" s="58">
        <v>41</v>
      </c>
      <c r="K5">
        <f t="shared" ref="K5:K41" si="1">SUM(I5-J5)</f>
        <v>5</v>
      </c>
    </row>
    <row r="6" spans="1:11" ht="14.1" customHeight="1">
      <c r="A6" s="24" t="s">
        <v>39</v>
      </c>
      <c r="B6" s="3">
        <v>107</v>
      </c>
      <c r="C6" s="15">
        <v>60</v>
      </c>
      <c r="D6" s="190">
        <v>75</v>
      </c>
      <c r="E6" s="58">
        <v>57</v>
      </c>
      <c r="F6" s="58">
        <v>50</v>
      </c>
      <c r="G6">
        <f t="shared" si="0"/>
        <v>7</v>
      </c>
      <c r="I6" s="58">
        <v>57</v>
      </c>
      <c r="J6" s="58">
        <v>41</v>
      </c>
      <c r="K6">
        <f t="shared" si="1"/>
        <v>16</v>
      </c>
    </row>
    <row r="7" spans="1:11" ht="14.45" customHeight="1">
      <c r="A7" s="25" t="s">
        <v>40</v>
      </c>
      <c r="B7" s="3">
        <v>34</v>
      </c>
      <c r="C7" s="15">
        <v>10</v>
      </c>
      <c r="D7" s="66">
        <v>15</v>
      </c>
      <c r="E7" s="58">
        <v>9</v>
      </c>
      <c r="F7" s="58">
        <v>9</v>
      </c>
      <c r="G7">
        <f t="shared" si="0"/>
        <v>0</v>
      </c>
      <c r="I7" s="58">
        <v>9</v>
      </c>
      <c r="J7" s="58">
        <v>9</v>
      </c>
      <c r="K7">
        <f t="shared" si="1"/>
        <v>0</v>
      </c>
    </row>
    <row r="8" spans="1:11" ht="14.1" customHeight="1" thickBot="1">
      <c r="A8" s="26" t="s">
        <v>41</v>
      </c>
      <c r="B8" s="3">
        <v>31</v>
      </c>
      <c r="C8" s="15">
        <v>10</v>
      </c>
      <c r="D8" s="60">
        <v>20</v>
      </c>
      <c r="E8" s="58">
        <v>16</v>
      </c>
      <c r="F8" s="58">
        <v>16</v>
      </c>
      <c r="G8">
        <f t="shared" si="0"/>
        <v>0</v>
      </c>
      <c r="I8" s="58">
        <v>16</v>
      </c>
      <c r="J8" s="58">
        <v>14</v>
      </c>
      <c r="K8">
        <f t="shared" si="1"/>
        <v>2</v>
      </c>
    </row>
    <row r="9" spans="1:11" ht="14.45" customHeight="1" thickBot="1">
      <c r="A9" s="27" t="s">
        <v>42</v>
      </c>
      <c r="B9" s="29">
        <v>65</v>
      </c>
      <c r="C9" s="37">
        <v>60</v>
      </c>
      <c r="D9" s="120">
        <v>35</v>
      </c>
      <c r="E9" s="245">
        <f>SUM(E7:E8)</f>
        <v>25</v>
      </c>
      <c r="F9" s="245">
        <f>SUM(F7:F8)</f>
        <v>25</v>
      </c>
      <c r="G9">
        <f t="shared" si="0"/>
        <v>0</v>
      </c>
      <c r="I9" s="245">
        <f>SUM(I7:I8)</f>
        <v>25</v>
      </c>
      <c r="J9" s="245">
        <f>SUM(J7:J8)</f>
        <v>23</v>
      </c>
      <c r="K9">
        <f t="shared" si="1"/>
        <v>2</v>
      </c>
    </row>
    <row r="10" spans="1:11" ht="14.45" customHeight="1">
      <c r="A10" s="24" t="s">
        <v>43</v>
      </c>
      <c r="B10" s="3">
        <v>62</v>
      </c>
      <c r="C10" s="15">
        <v>20</v>
      </c>
      <c r="D10" s="143">
        <v>50</v>
      </c>
      <c r="E10" s="58">
        <v>58</v>
      </c>
      <c r="F10" s="58">
        <v>49</v>
      </c>
      <c r="G10">
        <f t="shared" si="0"/>
        <v>9</v>
      </c>
      <c r="I10" s="58">
        <v>58</v>
      </c>
      <c r="J10" s="58">
        <v>47</v>
      </c>
      <c r="K10">
        <f t="shared" si="1"/>
        <v>11</v>
      </c>
    </row>
    <row r="11" spans="1:11" ht="14.45" customHeight="1">
      <c r="A11" s="24" t="s">
        <v>44</v>
      </c>
      <c r="B11" s="3">
        <v>22</v>
      </c>
      <c r="C11" s="15">
        <v>10</v>
      </c>
      <c r="D11" s="144">
        <v>10</v>
      </c>
      <c r="E11" s="58">
        <v>13</v>
      </c>
      <c r="F11" s="58">
        <v>13</v>
      </c>
      <c r="G11">
        <f t="shared" si="0"/>
        <v>0</v>
      </c>
      <c r="I11" s="58">
        <v>13</v>
      </c>
      <c r="J11" s="58">
        <v>11</v>
      </c>
      <c r="K11">
        <f t="shared" si="1"/>
        <v>2</v>
      </c>
    </row>
    <row r="12" spans="1:11" ht="15" customHeight="1">
      <c r="A12" s="24" t="s">
        <v>45</v>
      </c>
      <c r="B12" s="3">
        <v>14</v>
      </c>
      <c r="C12" s="15">
        <v>10</v>
      </c>
      <c r="D12" s="66">
        <v>15</v>
      </c>
      <c r="E12" s="79">
        <v>19</v>
      </c>
      <c r="F12" s="79">
        <v>18</v>
      </c>
      <c r="G12">
        <f t="shared" si="0"/>
        <v>1</v>
      </c>
      <c r="I12" s="79">
        <v>19</v>
      </c>
      <c r="J12" s="79">
        <v>16</v>
      </c>
      <c r="K12">
        <f t="shared" si="1"/>
        <v>3</v>
      </c>
    </row>
    <row r="13" spans="1:11" ht="14.45" customHeight="1" thickBot="1">
      <c r="A13" s="24" t="s">
        <v>46</v>
      </c>
      <c r="B13" s="3">
        <v>19</v>
      </c>
      <c r="C13" s="15">
        <v>10</v>
      </c>
      <c r="D13" s="65">
        <v>10</v>
      </c>
      <c r="E13" s="58">
        <v>20</v>
      </c>
      <c r="F13" s="58">
        <v>20</v>
      </c>
      <c r="G13">
        <f t="shared" si="0"/>
        <v>0</v>
      </c>
      <c r="I13" s="58">
        <v>20</v>
      </c>
      <c r="J13" s="58">
        <v>19</v>
      </c>
      <c r="K13">
        <f t="shared" si="1"/>
        <v>1</v>
      </c>
    </row>
    <row r="14" spans="1:11" ht="15.6" customHeight="1" thickBot="1">
      <c r="A14" s="27" t="s">
        <v>47</v>
      </c>
      <c r="B14" s="29">
        <f>SUM(B4+B5+B6+B7+B8+B10+B11+B12+B13)</f>
        <v>446</v>
      </c>
      <c r="C14" s="37">
        <v>300</v>
      </c>
      <c r="D14" s="191">
        <v>315</v>
      </c>
      <c r="E14" s="248">
        <f>SUM(E10:E13,E8,E7,E6,E5,E4)</f>
        <v>321</v>
      </c>
      <c r="F14" s="248">
        <f>SUM(F10:F13,F8,F7,F6,F5,F4)</f>
        <v>288</v>
      </c>
      <c r="G14">
        <f t="shared" si="0"/>
        <v>33</v>
      </c>
      <c r="I14" s="248">
        <f>SUM(I10:I13,I8,I7,I6,I5,I4)</f>
        <v>321</v>
      </c>
      <c r="J14" s="248">
        <f>SUM(J10:J13,J8,J7,J6,J5,J4)</f>
        <v>262</v>
      </c>
      <c r="K14">
        <f t="shared" si="1"/>
        <v>59</v>
      </c>
    </row>
    <row r="15" spans="1:11">
      <c r="A15" s="28" t="s">
        <v>48</v>
      </c>
      <c r="B15" s="31"/>
      <c r="C15" s="31"/>
      <c r="D15" s="115"/>
      <c r="E15" s="36"/>
      <c r="F15" s="36"/>
      <c r="G15">
        <f t="shared" si="0"/>
        <v>0</v>
      </c>
      <c r="I15" s="36"/>
      <c r="J15" s="36"/>
      <c r="K15">
        <f t="shared" si="1"/>
        <v>0</v>
      </c>
    </row>
    <row r="16" spans="1:11" ht="13.35" customHeight="1">
      <c r="A16" s="24" t="s">
        <v>49</v>
      </c>
      <c r="B16" s="3">
        <v>64</v>
      </c>
      <c r="C16" s="15">
        <v>30</v>
      </c>
      <c r="D16" s="141">
        <v>20</v>
      </c>
      <c r="E16" s="67">
        <v>18</v>
      </c>
      <c r="F16" s="67">
        <v>16</v>
      </c>
      <c r="G16">
        <f t="shared" si="0"/>
        <v>2</v>
      </c>
      <c r="I16" s="67">
        <v>18</v>
      </c>
      <c r="J16" s="67">
        <v>15</v>
      </c>
      <c r="K16">
        <f t="shared" si="1"/>
        <v>3</v>
      </c>
    </row>
    <row r="17" spans="1:11" ht="14.1" customHeight="1">
      <c r="A17" s="24" t="s">
        <v>50</v>
      </c>
      <c r="B17" s="3">
        <v>69</v>
      </c>
      <c r="C17" s="15">
        <v>30</v>
      </c>
      <c r="D17" s="141">
        <v>40</v>
      </c>
      <c r="E17" s="85">
        <v>24</v>
      </c>
      <c r="F17" s="85">
        <v>14</v>
      </c>
      <c r="G17">
        <f t="shared" si="0"/>
        <v>10</v>
      </c>
      <c r="I17" s="85">
        <v>24</v>
      </c>
      <c r="J17" s="85">
        <v>14</v>
      </c>
      <c r="K17">
        <f t="shared" si="1"/>
        <v>10</v>
      </c>
    </row>
    <row r="18" spans="1:11" ht="17.100000000000001" customHeight="1">
      <c r="A18" s="24" t="s">
        <v>51</v>
      </c>
      <c r="B18" s="3">
        <v>145</v>
      </c>
      <c r="C18" s="15">
        <v>30</v>
      </c>
      <c r="D18" s="141">
        <v>60</v>
      </c>
      <c r="E18" s="85">
        <v>52</v>
      </c>
      <c r="F18" s="85">
        <v>46</v>
      </c>
      <c r="G18">
        <f t="shared" si="0"/>
        <v>6</v>
      </c>
      <c r="I18" s="85">
        <v>52</v>
      </c>
      <c r="J18" s="85">
        <v>42</v>
      </c>
      <c r="K18">
        <f t="shared" si="1"/>
        <v>10</v>
      </c>
    </row>
    <row r="19" spans="1:11" ht="13.35" customHeight="1">
      <c r="A19" s="24" t="s">
        <v>52</v>
      </c>
      <c r="B19" s="3">
        <v>100</v>
      </c>
      <c r="C19" s="15">
        <v>30</v>
      </c>
      <c r="D19" s="141">
        <v>60</v>
      </c>
      <c r="E19" s="85">
        <v>40</v>
      </c>
      <c r="F19" s="85">
        <v>33</v>
      </c>
      <c r="G19">
        <f t="shared" si="0"/>
        <v>7</v>
      </c>
      <c r="I19" s="85">
        <v>40</v>
      </c>
      <c r="J19" s="85">
        <v>33</v>
      </c>
      <c r="K19">
        <f t="shared" si="1"/>
        <v>7</v>
      </c>
    </row>
    <row r="20" spans="1:11" ht="14.45" customHeight="1" thickBot="1">
      <c r="A20" s="259" t="s">
        <v>53</v>
      </c>
      <c r="B20" s="3">
        <v>24</v>
      </c>
      <c r="C20" s="15">
        <v>10</v>
      </c>
      <c r="D20" s="192">
        <v>10</v>
      </c>
      <c r="E20" s="67">
        <v>12</v>
      </c>
      <c r="F20" s="67">
        <v>12</v>
      </c>
      <c r="G20">
        <f t="shared" si="0"/>
        <v>0</v>
      </c>
      <c r="I20" s="67">
        <v>12</v>
      </c>
      <c r="J20" s="67">
        <v>12</v>
      </c>
      <c r="K20">
        <f t="shared" si="1"/>
        <v>0</v>
      </c>
    </row>
    <row r="21" spans="1:11" ht="14.45" customHeight="1" thickBot="1">
      <c r="A21" s="27" t="s">
        <v>54</v>
      </c>
      <c r="B21" s="29">
        <f>SUM(B16:B20)</f>
        <v>402</v>
      </c>
      <c r="C21" s="37">
        <v>300</v>
      </c>
      <c r="D21" s="153">
        <v>190</v>
      </c>
      <c r="E21" s="91">
        <f>SUM(E16:E20)</f>
        <v>146</v>
      </c>
      <c r="F21" s="91">
        <f>SUM(F16:F20)</f>
        <v>121</v>
      </c>
      <c r="G21">
        <f t="shared" si="0"/>
        <v>25</v>
      </c>
      <c r="I21" s="91">
        <f>SUM(I16:I20)</f>
        <v>146</v>
      </c>
      <c r="J21" s="91">
        <f>SUM(J16:J20)</f>
        <v>116</v>
      </c>
      <c r="K21">
        <f t="shared" si="1"/>
        <v>30</v>
      </c>
    </row>
    <row r="22" spans="1:11" ht="16.149999999999999" thickBot="1">
      <c r="A22" s="249" t="s">
        <v>55</v>
      </c>
      <c r="B22" s="29">
        <v>18</v>
      </c>
      <c r="C22" s="37">
        <v>10</v>
      </c>
      <c r="D22" s="65">
        <v>10</v>
      </c>
      <c r="E22" s="32">
        <v>17</v>
      </c>
      <c r="F22" s="32">
        <v>16</v>
      </c>
      <c r="G22">
        <f t="shared" si="0"/>
        <v>1</v>
      </c>
      <c r="I22" s="32">
        <v>17</v>
      </c>
      <c r="J22" s="32">
        <v>15</v>
      </c>
      <c r="K22">
        <f t="shared" si="1"/>
        <v>2</v>
      </c>
    </row>
    <row r="23" spans="1:11" ht="14.45" customHeight="1" thickBot="1">
      <c r="A23" s="250" t="s">
        <v>56</v>
      </c>
      <c r="B23" s="29">
        <v>11</v>
      </c>
      <c r="C23" s="37">
        <v>10</v>
      </c>
      <c r="D23" s="65">
        <v>15</v>
      </c>
      <c r="E23" s="57">
        <v>7</v>
      </c>
      <c r="F23" s="57">
        <v>7</v>
      </c>
      <c r="G23">
        <f t="shared" si="0"/>
        <v>0</v>
      </c>
      <c r="I23" s="57">
        <v>7</v>
      </c>
      <c r="J23" s="57">
        <v>7</v>
      </c>
      <c r="K23">
        <f t="shared" si="1"/>
        <v>0</v>
      </c>
    </row>
    <row r="24" spans="1:11" ht="15.6" customHeight="1" thickBot="1">
      <c r="A24" s="249" t="s">
        <v>57</v>
      </c>
      <c r="B24" s="29">
        <v>48</v>
      </c>
      <c r="C24" s="37">
        <v>20</v>
      </c>
      <c r="D24" s="31">
        <v>50</v>
      </c>
      <c r="E24" s="57">
        <v>63</v>
      </c>
      <c r="F24" s="57">
        <v>59</v>
      </c>
      <c r="G24">
        <f t="shared" si="0"/>
        <v>4</v>
      </c>
      <c r="I24" s="57">
        <v>63</v>
      </c>
      <c r="J24" s="57">
        <v>58</v>
      </c>
      <c r="K24">
        <f t="shared" si="1"/>
        <v>5</v>
      </c>
    </row>
    <row r="25" spans="1:11" ht="14.1" customHeight="1" thickBot="1">
      <c r="A25" s="251" t="s">
        <v>58</v>
      </c>
      <c r="B25" s="31"/>
      <c r="C25" s="31"/>
      <c r="D25" s="116"/>
      <c r="E25" s="79"/>
      <c r="F25" s="79"/>
      <c r="G25">
        <f t="shared" si="0"/>
        <v>0</v>
      </c>
      <c r="I25" s="79"/>
      <c r="J25" s="79"/>
      <c r="K25">
        <f t="shared" si="1"/>
        <v>0</v>
      </c>
    </row>
    <row r="26" spans="1:11" ht="13.35" customHeight="1">
      <c r="A26" s="24" t="s">
        <v>59</v>
      </c>
      <c r="B26" s="3">
        <v>11</v>
      </c>
      <c r="C26" s="15">
        <v>10</v>
      </c>
      <c r="D26" s="67">
        <v>10</v>
      </c>
      <c r="E26" s="79">
        <v>5</v>
      </c>
      <c r="F26" s="79">
        <v>5</v>
      </c>
      <c r="G26">
        <f t="shared" si="0"/>
        <v>0</v>
      </c>
      <c r="I26" s="79">
        <v>5</v>
      </c>
      <c r="J26" s="79">
        <v>5</v>
      </c>
      <c r="K26">
        <f t="shared" si="1"/>
        <v>0</v>
      </c>
    </row>
    <row r="27" spans="1:11">
      <c r="A27" s="23" t="s">
        <v>60</v>
      </c>
      <c r="B27" s="3">
        <v>34</v>
      </c>
      <c r="C27" s="15">
        <v>20</v>
      </c>
      <c r="D27" s="69">
        <v>30</v>
      </c>
      <c r="E27" s="31">
        <v>15</v>
      </c>
      <c r="F27" s="31">
        <v>13</v>
      </c>
      <c r="G27">
        <f t="shared" si="0"/>
        <v>2</v>
      </c>
      <c r="I27" s="31">
        <v>15</v>
      </c>
      <c r="J27" s="31">
        <v>13</v>
      </c>
      <c r="K27">
        <f t="shared" si="1"/>
        <v>2</v>
      </c>
    </row>
    <row r="28" spans="1:11" ht="14.45" customHeight="1">
      <c r="A28" s="25" t="s">
        <v>61</v>
      </c>
      <c r="B28" s="3">
        <v>13</v>
      </c>
      <c r="C28" s="15">
        <v>10</v>
      </c>
      <c r="D28" s="67">
        <v>20</v>
      </c>
      <c r="E28" s="79">
        <v>40</v>
      </c>
      <c r="F28" s="79">
        <v>40</v>
      </c>
      <c r="G28">
        <f t="shared" si="0"/>
        <v>0</v>
      </c>
      <c r="I28" s="79">
        <v>40</v>
      </c>
      <c r="J28" s="79">
        <v>40</v>
      </c>
      <c r="K28">
        <f t="shared" si="1"/>
        <v>0</v>
      </c>
    </row>
    <row r="29" spans="1:11" ht="15" customHeight="1">
      <c r="A29" s="24" t="s">
        <v>62</v>
      </c>
      <c r="B29" s="3">
        <v>11</v>
      </c>
      <c r="C29" s="15">
        <v>10</v>
      </c>
      <c r="D29" s="67">
        <v>15</v>
      </c>
      <c r="E29" s="79">
        <v>18</v>
      </c>
      <c r="F29" s="79">
        <v>18</v>
      </c>
      <c r="G29">
        <f t="shared" si="0"/>
        <v>0</v>
      </c>
      <c r="I29" s="79">
        <v>18</v>
      </c>
      <c r="J29" s="79">
        <v>18</v>
      </c>
      <c r="K29">
        <f t="shared" si="1"/>
        <v>0</v>
      </c>
    </row>
    <row r="30" spans="1:11" ht="14.1" customHeight="1">
      <c r="A30" s="24" t="s">
        <v>63</v>
      </c>
      <c r="B30" s="3">
        <v>55</v>
      </c>
      <c r="C30" s="15">
        <v>30</v>
      </c>
      <c r="D30" s="67">
        <v>80</v>
      </c>
      <c r="E30" s="79">
        <v>81</v>
      </c>
      <c r="F30" s="79">
        <v>78</v>
      </c>
      <c r="G30">
        <f t="shared" si="0"/>
        <v>3</v>
      </c>
      <c r="I30" s="79">
        <v>81</v>
      </c>
      <c r="J30" s="79">
        <v>74</v>
      </c>
      <c r="K30">
        <f t="shared" si="1"/>
        <v>7</v>
      </c>
    </row>
    <row r="31" spans="1:11" ht="14.1" customHeight="1">
      <c r="A31" s="25" t="s">
        <v>64</v>
      </c>
      <c r="B31" s="3">
        <v>23</v>
      </c>
      <c r="C31" s="15">
        <v>10</v>
      </c>
      <c r="D31" s="65">
        <v>25</v>
      </c>
      <c r="E31" s="59">
        <v>41</v>
      </c>
      <c r="F31" s="59">
        <v>41</v>
      </c>
      <c r="G31">
        <f t="shared" si="0"/>
        <v>0</v>
      </c>
      <c r="I31" s="59">
        <v>41</v>
      </c>
      <c r="J31" s="59">
        <v>39</v>
      </c>
      <c r="K31">
        <f t="shared" si="1"/>
        <v>2</v>
      </c>
    </row>
    <row r="32" spans="1:11" ht="14.45" customHeight="1" thickBot="1">
      <c r="A32" s="25" t="s">
        <v>65</v>
      </c>
      <c r="B32" s="3">
        <v>13</v>
      </c>
      <c r="C32" s="15">
        <v>10</v>
      </c>
      <c r="D32" s="193">
        <v>10</v>
      </c>
      <c r="E32" s="31">
        <v>21</v>
      </c>
      <c r="F32" s="31">
        <v>21</v>
      </c>
      <c r="G32">
        <f t="shared" si="0"/>
        <v>0</v>
      </c>
      <c r="I32" s="31">
        <v>21</v>
      </c>
      <c r="J32" s="31">
        <v>19</v>
      </c>
      <c r="K32">
        <f t="shared" si="1"/>
        <v>2</v>
      </c>
    </row>
    <row r="33" spans="1:11" ht="13.35" customHeight="1" thickBot="1">
      <c r="A33" s="252" t="s">
        <v>66</v>
      </c>
      <c r="B33" s="34">
        <f>SUM(B26:B32)</f>
        <v>160</v>
      </c>
      <c r="C33" s="253">
        <v>100</v>
      </c>
      <c r="D33" s="35">
        <v>190</v>
      </c>
      <c r="E33" s="101">
        <f>SUM(E26:E32)</f>
        <v>221</v>
      </c>
      <c r="F33" s="101">
        <f>SUM(F26:F32)</f>
        <v>216</v>
      </c>
      <c r="G33">
        <f t="shared" si="0"/>
        <v>5</v>
      </c>
      <c r="I33" s="101">
        <f>SUM(I26:I32)</f>
        <v>221</v>
      </c>
      <c r="J33" s="101">
        <f>SUM(J26:J32)</f>
        <v>208</v>
      </c>
      <c r="K33">
        <f t="shared" si="1"/>
        <v>13</v>
      </c>
    </row>
    <row r="34" spans="1:11">
      <c r="A34" s="255" t="s">
        <v>67</v>
      </c>
      <c r="B34" s="31"/>
      <c r="C34" s="31" t="s">
        <v>98</v>
      </c>
      <c r="D34" s="116"/>
      <c r="E34" s="83"/>
      <c r="F34" s="83"/>
      <c r="G34">
        <f t="shared" si="0"/>
        <v>0</v>
      </c>
      <c r="I34" s="83"/>
      <c r="J34" s="83"/>
      <c r="K34">
        <f t="shared" si="1"/>
        <v>0</v>
      </c>
    </row>
    <row r="35" spans="1:11" ht="14.1" customHeight="1">
      <c r="A35" s="24" t="s">
        <v>68</v>
      </c>
      <c r="B35" s="3">
        <v>11</v>
      </c>
      <c r="C35" s="15">
        <v>5</v>
      </c>
      <c r="D35" s="116">
        <v>10</v>
      </c>
      <c r="E35" s="79">
        <v>6</v>
      </c>
      <c r="F35" s="79">
        <v>5</v>
      </c>
      <c r="G35">
        <f t="shared" si="0"/>
        <v>1</v>
      </c>
      <c r="I35" s="79">
        <v>6</v>
      </c>
      <c r="J35" s="79">
        <v>5</v>
      </c>
      <c r="K35">
        <f t="shared" si="1"/>
        <v>1</v>
      </c>
    </row>
    <row r="36" spans="1:11" ht="13.35" customHeight="1">
      <c r="A36" s="24" t="s">
        <v>69</v>
      </c>
      <c r="B36" s="3">
        <v>18</v>
      </c>
      <c r="C36" s="15">
        <v>10</v>
      </c>
      <c r="D36" s="116">
        <v>10</v>
      </c>
      <c r="E36" s="79">
        <v>15</v>
      </c>
      <c r="F36" s="79">
        <v>14</v>
      </c>
      <c r="G36">
        <f t="shared" si="0"/>
        <v>1</v>
      </c>
      <c r="I36" s="79">
        <v>15</v>
      </c>
      <c r="J36" s="79">
        <v>13</v>
      </c>
      <c r="K36">
        <f t="shared" si="1"/>
        <v>2</v>
      </c>
    </row>
    <row r="37" spans="1:11" ht="15.6" customHeight="1">
      <c r="A37" s="24" t="s">
        <v>70</v>
      </c>
      <c r="B37" s="3">
        <v>26</v>
      </c>
      <c r="C37" s="15">
        <v>10</v>
      </c>
      <c r="D37" s="116">
        <v>10</v>
      </c>
      <c r="E37" s="79">
        <v>10</v>
      </c>
      <c r="F37" s="79">
        <v>10</v>
      </c>
      <c r="G37">
        <f t="shared" si="0"/>
        <v>0</v>
      </c>
      <c r="I37" s="79">
        <v>10</v>
      </c>
      <c r="J37" s="79">
        <v>9</v>
      </c>
      <c r="K37">
        <f t="shared" si="1"/>
        <v>1</v>
      </c>
    </row>
    <row r="38" spans="1:11" ht="17.100000000000001" customHeight="1" thickBot="1">
      <c r="A38" s="25" t="s">
        <v>71</v>
      </c>
      <c r="B38" s="3">
        <v>13</v>
      </c>
      <c r="C38" s="15">
        <v>5</v>
      </c>
      <c r="D38" s="64">
        <v>5</v>
      </c>
      <c r="E38" s="79">
        <v>13</v>
      </c>
      <c r="F38" s="79">
        <v>10</v>
      </c>
      <c r="G38">
        <f t="shared" si="0"/>
        <v>3</v>
      </c>
      <c r="I38" s="79">
        <v>13</v>
      </c>
      <c r="J38" s="79">
        <v>10</v>
      </c>
      <c r="K38">
        <f t="shared" si="1"/>
        <v>3</v>
      </c>
    </row>
    <row r="39" spans="1:11" ht="15" customHeight="1" thickBot="1">
      <c r="A39" s="27" t="s">
        <v>72</v>
      </c>
      <c r="B39" s="29">
        <f>SUM(B35:B38)</f>
        <v>68</v>
      </c>
      <c r="C39" s="37">
        <v>40</v>
      </c>
      <c r="D39" s="208">
        <v>35</v>
      </c>
      <c r="E39" s="102">
        <f>SUM(E35:E38)</f>
        <v>44</v>
      </c>
      <c r="F39" s="102">
        <f>SUM(F35:F38)</f>
        <v>39</v>
      </c>
      <c r="G39">
        <f t="shared" si="0"/>
        <v>5</v>
      </c>
      <c r="I39" s="102">
        <f>SUM(I35:I38)</f>
        <v>44</v>
      </c>
      <c r="J39" s="102">
        <f>SUM(J35:J38)</f>
        <v>37</v>
      </c>
      <c r="K39">
        <f t="shared" si="1"/>
        <v>7</v>
      </c>
    </row>
    <row r="40" spans="1:11" ht="16.149999999999999" thickBot="1">
      <c r="A40" s="27" t="s">
        <v>73</v>
      </c>
      <c r="B40" s="29">
        <f>SUM(B14+B21+B22+B23+B24+B33+B39)</f>
        <v>1153</v>
      </c>
      <c r="C40" s="37">
        <v>800</v>
      </c>
      <c r="D40" s="122">
        <v>805</v>
      </c>
      <c r="E40" s="105">
        <f t="shared" ref="E40" si="2">SUM(E14+E21+E22+E23+E24+E33+E39)</f>
        <v>819</v>
      </c>
      <c r="F40" s="105">
        <f t="shared" ref="F40" si="3">SUM(F14+F21+F22+F23+F24+F33+F39)</f>
        <v>746</v>
      </c>
      <c r="G40">
        <f t="shared" si="0"/>
        <v>73</v>
      </c>
      <c r="I40" s="105">
        <f t="shared" ref="I40" si="4">SUM(I14+I21+I22+I23+I24+I33+I39)</f>
        <v>819</v>
      </c>
      <c r="J40" s="105">
        <f t="shared" ref="J40" si="5">SUM(J14+J21+J22+J23+J24+J33+J39)</f>
        <v>703</v>
      </c>
      <c r="K40">
        <f t="shared" si="1"/>
        <v>116</v>
      </c>
    </row>
    <row r="41" spans="1:11" ht="16.149999999999999" thickBot="1">
      <c r="A41" s="46" t="s">
        <v>74</v>
      </c>
      <c r="B41" s="111">
        <v>400</v>
      </c>
      <c r="C41" s="39">
        <v>80</v>
      </c>
      <c r="D41" s="108">
        <v>60</v>
      </c>
      <c r="E41" s="108">
        <v>84</v>
      </c>
      <c r="F41" s="108">
        <v>66</v>
      </c>
      <c r="G41">
        <f t="shared" si="0"/>
        <v>18</v>
      </c>
      <c r="I41" s="108">
        <v>84</v>
      </c>
      <c r="J41" s="108">
        <v>61</v>
      </c>
      <c r="K41">
        <f t="shared" si="1"/>
        <v>23</v>
      </c>
    </row>
  </sheetData>
  <conditionalFormatting sqref="E4:F14 E16:F24 E26:F33 E35:F41">
    <cfRule type="expression" dxfId="5" priority="4">
      <formula>AND($C4&lt;=E4, $B4&gt;E4)</formula>
    </cfRule>
    <cfRule type="expression" dxfId="4" priority="5">
      <formula>($B4&lt;=E4)</formula>
    </cfRule>
    <cfRule type="expression" dxfId="3" priority="6">
      <formula>$C4&gt;E4</formula>
    </cfRule>
  </conditionalFormatting>
  <conditionalFormatting sqref="I4:J14 I16:J24 I26:J33 I35:J41">
    <cfRule type="expression" dxfId="2" priority="1">
      <formula>AND($C4&lt;=I4, $B4&gt;I4)</formula>
    </cfRule>
    <cfRule type="expression" dxfId="1" priority="2">
      <formula>($B4&lt;=I4)</formula>
    </cfRule>
    <cfRule type="expression" dxfId="0" priority="3">
      <formula>$C4&gt;I4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2017-01-16T16:33:55Z</dcterms:created>
  <dcterms:modified xsi:type="dcterms:W3CDTF">2025-12-16T18:57:52Z</dcterms:modified>
  <cp:category/>
  <cp:contentStatus/>
</cp:coreProperties>
</file>